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ao.silva\Documents\GitHub\pptx-automatico\"/>
    </mc:Choice>
  </mc:AlternateContent>
  <xr:revisionPtr revIDLastSave="0" documentId="13_ncr:1_{043E8978-88D7-4F21-8E86-0A1340637E3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ncmr" sheetId="3" r:id="rId1"/>
    <sheet name="RCs" sheetId="4" r:id="rId2"/>
    <sheet name="TabelaDinâmica" sheetId="7" r:id="rId3"/>
    <sheet name="tabelas" sheetId="6" r:id="rId4"/>
  </sheets>
  <functionGroups builtInGroupCount="19"/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tc={6834123A-A769-4D9D-829F-8FD97DD05635}</author>
    <author>tc={132AE1CD-4792-483C-A689-00F99E6FA661}</author>
    <author>tc={BD844094-9B7D-4D55-BA8E-3E5198EC4AF6}</author>
  </authors>
  <commentList>
    <comment ref="E1" authorId="0" shapeId="0" xr:uid="{6834123A-A769-4D9D-829F-8FD97DD05635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  <comment ref="F7" authorId="1" shapeId="0" xr:uid="{132AE1CD-4792-483C-A689-00F99E6FA661}">
      <text>
        <t>[Threaded comment]
Your version of Excel allows you to read this threaded comment; however, any edits to it will get removed if the file is opened in a newer version of Excel. Learn more: https://go.microsoft.com/fwlink/?linkid=870924
Comment:
    As datas e horas estão em UTC. Isso é dificil de mudar, mas tambem não é útil de mudar. Desta forma a comunicação com outras aplicações fica facilitada.</t>
      </text>
    </comment>
    <comment ref="V7" authorId="2" shapeId="0" xr:uid="{BD844094-9B7D-4D55-BA8E-3E5198EC4A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Este campo permite múltipla seleção. A múltipla seleção foi implementada em codigo VBA (aba Developer &gt; Visual Basic &gt; Sheet1(nmcr) &gt; View Code). O código foi copiado do link a seguir: How to create multi-select drop down list in Excel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tc={3B472FC4-EF1F-4619-A79A-036841C335C6}</author>
  </authors>
  <commentList>
    <comment ref="F1" authorId="0" shapeId="0" xr:uid="{3B472FC4-EF1F-4619-A79A-036841C335C6}">
      <text>
        <t>[Threaded comment]
Your version of Excel allows you to read this threaded comment; however, any edits to it will get removed if the file is opened in a newer version of Excel. Learn more: https://go.microsoft.com/fwlink/?linkid=870924
Comment:
    O gerador de diagrama Four-Block está num script Python. O Excel acessa o script através de um Macro acessível através da aba Developer &gt; Visual Basic &gt; Modules &gt; Module1</t>
      </text>
    </comment>
  </commentList>
</comments>
</file>

<file path=xl/sharedStrings.xml><?xml version="1.0" encoding="utf-8"?>
<sst xmlns="http://schemas.openxmlformats.org/spreadsheetml/2006/main" count="135" uniqueCount="83">
  <si>
    <t>Selecione a célula com o PowerAppsId da NCMR que deseja gerar.</t>
  </si>
  <si>
    <t>PowerAppsId</t>
  </si>
  <si>
    <t>status</t>
  </si>
  <si>
    <t>email_responsavel</t>
  </si>
  <si>
    <t>local</t>
  </si>
  <si>
    <t>data_requisicao</t>
  </si>
  <si>
    <t>data_problema</t>
  </si>
  <si>
    <t>part_number</t>
  </si>
  <si>
    <t>serial_number</t>
  </si>
  <si>
    <t>descricao_part</t>
  </si>
  <si>
    <t>Informativa</t>
  </si>
  <si>
    <t>informativa_retrabalho</t>
  </si>
  <si>
    <t>correto</t>
  </si>
  <si>
    <t>qtd_itens</t>
  </si>
  <si>
    <t>qtd_erros</t>
  </si>
  <si>
    <t>prioridade</t>
  </si>
  <si>
    <t>modelo_locomotiva</t>
  </si>
  <si>
    <t>numero_locomotiva</t>
  </si>
  <si>
    <t>fornecedor</t>
  </si>
  <si>
    <t>fabricante</t>
  </si>
  <si>
    <t>aos_cuidados</t>
  </si>
  <si>
    <t>origem_do_item</t>
  </si>
  <si>
    <t>Tipo</t>
  </si>
  <si>
    <t>Emitido</t>
  </si>
  <si>
    <t>GA1</t>
  </si>
  <si>
    <t>Não</t>
  </si>
  <si>
    <t>DASH9</t>
  </si>
  <si>
    <t>NCMR-2025-ABCD1234</t>
  </si>
  <si>
    <t>Requisitado</t>
  </si>
  <si>
    <t>exemplo@gmail.com</t>
  </si>
  <si>
    <t>ABCD1234</t>
  </si>
  <si>
    <t>XYZ987</t>
  </si>
  <si>
    <t>Parafuso</t>
  </si>
  <si>
    <t>Parafusos entregues no tamanho errado (M6) e com as porcas faltando.</t>
  </si>
  <si>
    <t>O produto deveria conter parafusos M8, sextavados, com porcas correspondentes na mesma embalagem.</t>
  </si>
  <si>
    <t>5. Não urgente</t>
  </si>
  <si>
    <t>Empresa ABC</t>
  </si>
  <si>
    <t>Fábrica 123</t>
  </si>
  <si>
    <t>GA2</t>
  </si>
  <si>
    <t>Sim</t>
  </si>
  <si>
    <t>luciano.pereira@wabtec.com</t>
  </si>
  <si>
    <t>flavio.soares@Wabtec.com</t>
  </si>
  <si>
    <t>Fornecedor</t>
  </si>
  <si>
    <t>gabriel.barbosa@wabtec.com</t>
  </si>
  <si>
    <t>miguel.ramos@wabtec.com</t>
  </si>
  <si>
    <t>jorge.silva@wabtec.com</t>
  </si>
  <si>
    <t>vinicius.borgatti@wabtec.com</t>
  </si>
  <si>
    <t>josimar.miranda@wabtec.com</t>
  </si>
  <si>
    <t>gabriel.oliveira@wabtec.com</t>
  </si>
  <si>
    <t>data_instalacao</t>
  </si>
  <si>
    <t>data_remocao</t>
  </si>
  <si>
    <t>MWH</t>
  </si>
  <si>
    <t>tipo_servico</t>
  </si>
  <si>
    <t>OVP</t>
  </si>
  <si>
    <t>RC_20250811_163956_5GE761ANS</t>
  </si>
  <si>
    <t>Motor de tração apresentou circuito de potência aterrado. Foi identificado arame do rebobinamento da armadura dentro do motor</t>
  </si>
  <si>
    <t>Unscheduled</t>
  </si>
  <si>
    <t xml:space="preserve">   </t>
  </si>
  <si>
    <t>Data</t>
  </si>
  <si>
    <t>NCMRs</t>
  </si>
  <si>
    <t>jul</t>
  </si>
  <si>
    <t>ago</t>
  </si>
  <si>
    <t>set</t>
  </si>
  <si>
    <t>out</t>
  </si>
  <si>
    <t>Grand Total</t>
  </si>
  <si>
    <t>Email</t>
  </si>
  <si>
    <t>Origem</t>
  </si>
  <si>
    <t>Local</t>
  </si>
  <si>
    <t>Grupo email</t>
  </si>
  <si>
    <t>Fábrica</t>
  </si>
  <si>
    <t>ncmr-ga1-cc@wabtec.com</t>
  </si>
  <si>
    <t>lucas.figueiredo@Wabtec.com</t>
  </si>
  <si>
    <t>ncmr-ga2-cc@wabtec.com</t>
  </si>
  <si>
    <t>Leandro Santos</t>
  </si>
  <si>
    <t>douglas.reis@wabtec.com</t>
  </si>
  <si>
    <t>thiago.santos@wabtec.com</t>
  </si>
  <si>
    <t>NCMR-2025-ABCD1235</t>
  </si>
  <si>
    <t>Selecione a célula com o PowerAppsId da RC que deseja gerar.</t>
  </si>
  <si>
    <t>ABCDEFG</t>
  </si>
  <si>
    <t>FGHTYS2</t>
  </si>
  <si>
    <t>cod</t>
  </si>
  <si>
    <t>RC-MSA</t>
  </si>
  <si>
    <t>problema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</si>
</sst>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/>
        <bgColor theme="6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2" fillId="2" borderId="1" xfId="0" applyFont="1" applyFill="1" applyBorder="1"/>
    <xf numFmtId="14" fontId="0" fillId="3" borderId="0" xfId="0" applyNumberFormat="1" applyFill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14" fontId="3" fillId="3" borderId="0" xfId="0" applyNumberFormat="1" applyFont="1" applyFill="1"/>
    <xf numFmtId="0" fontId="1" fillId="0" borderId="0" xfId="1"/>
    <xf numFmtId="0" fontId="0" fillId="0" borderId="2" xfId="0" applyBorder="1"/>
    <xf numFmtId="0" fontId="2" fillId="5" borderId="0" xfId="0" applyFont="1" applyFill="1"/>
    <xf numFmtId="0" fontId="1" fillId="0" borderId="3" xfId="1" applyBorder="1"/>
    <xf numFmtId="0" fontId="2" fillId="5" borderId="4" xfId="0" applyFont="1" applyFill="1" applyBorder="1"/>
    <xf numFmtId="164" fontId="0" fillId="3" borderId="0" xfId="0" applyNumberFormat="1" applyFill="1"/>
    <xf numFmtId="0" fontId="0" fillId="0" borderId="0" xfId="0" applyAlignment="1">
      <alignment horizontal="fill"/>
    </xf>
    <xf numFmtId="0" fontId="0" fillId="3" borderId="0" xfId="0" applyFill="1" applyAlignment="1">
      <alignment horizontal="fill"/>
    </xf>
    <xf numFmtId="0" fontId="0" fillId="0" borderId="0" xfId="0" applyAlignment="1">
      <alignment vertical="center"/>
    </xf>
    <xf numFmtId="0" fontId="3" fillId="6" borderId="0" xfId="0" applyFont="1" applyFill="1"/>
    <xf numFmtId="0" fontId="0" fillId="2" borderId="0" xfId="0" applyFill="1"/>
    <xf numFmtId="14" fontId="0" fillId="2" borderId="0" xfId="0" applyNumberFormat="1" applyFill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1" fillId="3" borderId="0" xfId="1" applyFill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Hyperlink" xfId="1" builtinId="8"/>
    <cellStyle name="Normal" xfId="0" builtinId="0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border diagonalUp="0" diagonalDown="0">
        <left/>
        <right style="thin">
          <color theme="6"/>
        </right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hh:mm:ss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>
          <fgColor indexed="64"/>
          <bgColor theme="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000000"/>
          <bgColor rgb="FFFFFFFF"/>
        </patternFill>
      </fill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fil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5" formatCode="dd/mm/yyyy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4" formatCode="dd/mm/yyyy\ hh:mm:ss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general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-0.249977111117893"/>
        </patternFill>
      </fill>
      <alignment horizontal="general" vertical="bottom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69850</xdr:rowOff>
        </xdr:from>
        <xdr:to>
          <xdr:col>6</xdr:col>
          <xdr:colOff>1028700</xdr:colOff>
          <xdr:row>4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69850</xdr:rowOff>
        </xdr:from>
        <xdr:to>
          <xdr:col>7</xdr:col>
          <xdr:colOff>1028700</xdr:colOff>
          <xdr:row>4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diagrama Four-Block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lva, João Francisco" id="{81CD8ACE-8031-483A-9CDD-A4A025486D27}" userId="S::joao.silva@wabtec.com::8240b565-c1a6-42d1-8e4d-c11636f8f67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va, João Francisco" refreshedDate="45938.394273611113" createdVersion="8" refreshedVersion="8" minRefreshableVersion="3" recordCount="60" xr:uid="{BB4F729F-73D8-41FB-B82E-4BE252E87B8C}">
  <cacheSource type="worksheet">
    <worksheetSource name="ncmr"/>
  </cacheSource>
  <cacheFields count="25">
    <cacheField name="PowerAppsId" numFmtId="0">
      <sharedItems/>
    </cacheField>
    <cacheField name="cod_reliance" numFmtId="0">
      <sharedItems containsBlank="1"/>
    </cacheField>
    <cacheField name="status" numFmtId="0">
      <sharedItems/>
    </cacheField>
    <cacheField name="email_responsavel" numFmtId="0">
      <sharedItems/>
    </cacheField>
    <cacheField name="local" numFmtId="0">
      <sharedItems/>
    </cacheField>
    <cacheField name="data_requisicao" numFmtId="164">
      <sharedItems containsSemiMixedTypes="0" containsNonDate="0" containsDate="1" containsString="0" minDate="2025-07-31T15:59:12" maxDate="2025-10-07T21:46:21" count="60">
        <d v="2025-10-07T21:46:21"/>
        <d v="2025-10-06T21:42:07"/>
        <d v="2025-10-04T16:20:45"/>
        <d v="2025-10-04T16:13:08"/>
        <d v="2025-10-04T06:51:23"/>
        <d v="2025-10-02T18:54:47"/>
        <d v="2025-10-02T13:13:18"/>
        <d v="2025-10-02T13:10:12"/>
        <d v="2025-09-28T16:30:30"/>
        <d v="2025-09-26T20:00:45"/>
        <d v="2025-09-26T19:56:37"/>
        <d v="2025-09-25T19:57:51"/>
        <d v="2025-09-24T14:45:02"/>
        <d v="2025-09-24T14:12:23"/>
        <d v="2025-09-24T14:08:40"/>
        <d v="2025-09-23T12:12:39"/>
        <d v="2025-09-22T13:21:09"/>
        <d v="2025-09-19T19:16:33"/>
        <d v="2025-09-19T18:31:56"/>
        <d v="2025-09-19T15:13:44"/>
        <d v="2025-09-18T19:44:04"/>
        <d v="2025-09-18T17:58:05"/>
        <d v="2025-09-18T12:06:07"/>
        <d v="2025-09-18T06:50:57"/>
        <d v="2025-09-15T18:18:14"/>
        <d v="2025-09-13T21:32:05"/>
        <d v="2025-09-12T13:36:14"/>
        <d v="2025-09-12T02:24:37"/>
        <d v="2025-09-11T14:44:16"/>
        <d v="2025-09-11T14:32:19"/>
        <d v="2025-09-10T16:17:19"/>
        <d v="2025-09-10T15:53:23"/>
        <d v="2025-09-09T20:04:12"/>
        <d v="2025-09-08T20:16:16"/>
        <d v="2025-09-08T08:42:05"/>
        <d v="2025-09-04T23:40:34"/>
        <d v="2025-09-04T23:20:04"/>
        <d v="2025-09-04T13:49:19"/>
        <d v="2025-08-28T01:00:31"/>
        <d v="2025-08-27T20:37:42"/>
        <d v="2025-08-27T20:24:32"/>
        <d v="2025-08-25T12:18:37"/>
        <d v="2025-08-24T13:43:00"/>
        <d v="2025-08-23T08:19:35"/>
        <d v="2025-08-22T00:10:46"/>
        <d v="2025-08-21T22:24:11"/>
        <d v="2025-08-21T22:21:39"/>
        <d v="2025-08-21T16:46:28"/>
        <d v="2025-08-19T20:03:04"/>
        <d v="2025-08-19T19:43:19"/>
        <d v="2025-08-17T07:38:13"/>
        <d v="2025-08-16T11:59:45"/>
        <d v="2025-08-14T14:49:57"/>
        <d v="2025-08-14T14:21:20"/>
        <d v="2025-08-12T17:16:57"/>
        <d v="2025-08-12T15:35:17"/>
        <d v="2025-08-11T18:58:29"/>
        <d v="2025-08-11T11:57:22"/>
        <d v="2025-08-08T11:44:03"/>
        <d v="2025-07-31T15:59:12"/>
      </sharedItems>
      <fieldGroup par="24"/>
    </cacheField>
    <cacheField name="data_problema" numFmtId="14">
      <sharedItems containsSemiMixedTypes="0" containsNonDate="0" containsDate="1" containsString="0" minDate="2025-07-31T03:00:00" maxDate="2025-10-07T03:00:00"/>
    </cacheField>
    <cacheField name="part_number" numFmtId="0">
      <sharedItems/>
    </cacheField>
    <cacheField name="serial_number" numFmtId="0">
      <sharedItems containsMixedTypes="1" containsNumber="1" containsInteger="1" minValue="29" maxValue="313003"/>
    </cacheField>
    <cacheField name="descricao_part" numFmtId="0">
      <sharedItems containsBlank="1"/>
    </cacheField>
    <cacheField name="Informativa" numFmtId="0">
      <sharedItems containsBlank="1"/>
    </cacheField>
    <cacheField name="informativa_retrabalho" numFmtId="0">
      <sharedItems containsBlank="1"/>
    </cacheField>
    <cacheField name="errado" numFmtId="0">
      <sharedItems longText="1"/>
    </cacheField>
    <cacheField name="correto" numFmtId="0">
      <sharedItems longText="1"/>
    </cacheField>
    <cacheField name="qtd_itens" numFmtId="0">
      <sharedItems containsSemiMixedTypes="0" containsString="0" containsNumber="1" containsInteger="1" minValue="0" maxValue="58"/>
    </cacheField>
    <cacheField name="qtd_erros" numFmtId="0">
      <sharedItems containsSemiMixedTypes="0" containsString="0" containsNumber="1" containsInteger="1" minValue="0" maxValue="16"/>
    </cacheField>
    <cacheField name="prioridade" numFmtId="0">
      <sharedItems containsBlank="1"/>
    </cacheField>
    <cacheField name="modelo_locomotiva" numFmtId="0">
      <sharedItems/>
    </cacheField>
    <cacheField name="numero_locomotiva" numFmtId="0">
      <sharedItems containsSemiMixedTypes="0" containsString="0" containsNumber="1" containsInteger="1" minValue="0" maxValue="9890"/>
    </cacheField>
    <cacheField name="fornecedor" numFmtId="0">
      <sharedItems containsBlank="1" count="7">
        <s v="DCM"/>
        <s v="GCR"/>
        <s v="GBD"/>
        <s v="GCM"/>
        <m/>
        <s v="GCD"/>
        <s v="DCM - DCS" u="1"/>
      </sharedItems>
    </cacheField>
    <cacheField name="fabricante" numFmtId="0">
      <sharedItems containsBlank="1"/>
    </cacheField>
    <cacheField name="aos_cuidados" numFmtId="0">
      <sharedItems containsBlank="1"/>
    </cacheField>
    <cacheField name="origem_do_item" numFmtId="0">
      <sharedItems/>
    </cacheField>
    <cacheField name="Days (data_requisicao)" numFmtId="0" databaseField="0">
      <fieldGroup base="5">
        <rangePr groupBy="days" startDate="2025-07-31T15:59:12" endDate="2025-10-07T21:46:21"/>
        <groupItems count="368">
          <s v="&lt;31/07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7/10/2025"/>
        </groupItems>
      </fieldGroup>
    </cacheField>
    <cacheField name="Months (data_requisicao)" numFmtId="0" databaseField="0">
      <fieldGroup base="5">
        <rangePr groupBy="months" startDate="2025-07-31T15:59:12" endDate="2025-10-07T21:46:21"/>
        <groupItems count="14">
          <s v="&lt;31/07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7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NCMR_20251007_184620_84E902025ABG2"/>
    <s v="NCMR-2025-116246"/>
    <s v="Emitido"/>
    <s v="amanda.doria@wabtec.com"/>
    <s v="GA1"/>
    <x v="0"/>
    <d v="2025-10-07T03:00:00"/>
    <s v="84E902025ABG2"/>
    <s v="KS24012094"/>
    <s v="POWER ASSEMBLY"/>
    <s v="Não"/>
    <m/>
    <s v="Identificado camisa do conjunto de força novo com oxidação."/>
    <s v="Camisa do conjunto de força sem oxidação."/>
    <n v="1"/>
    <n v="1"/>
    <s v="3. Urgente"/>
    <s v="ES44ACi"/>
    <n v="8468"/>
    <x v="0"/>
    <s v="GRV-Grove City Manufacturing"/>
    <m/>
    <s v=""/>
  </r>
  <r>
    <s v="NCMR_20251006_184207_41A296352CMP245RBZ"/>
    <s v="NCMR-2025-115525"/>
    <s v="Emitido"/>
    <s v="lucas.marcatto@wabtec.com"/>
    <s v="GA1"/>
    <x v="1"/>
    <d v="2025-10-06T03:00:00"/>
    <s v="41A296352CMP245RBZ"/>
    <s v="1503WA03547"/>
    <s v="MODULO RADIO DPR RAPAIRED"/>
    <s v="Não"/>
    <m/>
    <s v="Ao realizar a medição de potência dos rádios, a posição B não libera potência._x000a__x000a_Possível falha da chave de acionamento."/>
    <s v="Ao acionar a chave de testes para as posições A e B, deve-se liberar potência em seus respectivos canais."/>
    <n v="1"/>
    <n v="1"/>
    <s v="5. Não urgente"/>
    <s v="AC44i"/>
    <n v="2519"/>
    <x v="1"/>
    <s v="Contagem Reman On-site"/>
    <m/>
    <s v=""/>
  </r>
  <r>
    <s v="NCMR_20251004_132045_84A239867ACP1"/>
    <s v="NCMR-2025-114994"/>
    <s v="Emitido"/>
    <s v="mayara.dossantos@wabtec.com"/>
    <s v="GA1"/>
    <x v="2"/>
    <d v="2025-10-04T03:00:00"/>
    <s v="84A239867ACP1"/>
    <s v="N/A"/>
    <s v="BATTERY KDZ 651"/>
    <s v="Sim"/>
    <s v="Desvirar os paletes para que assim fosse possivel utilizarmos. "/>
    <s v="Recebemos o total de 30 paletes para armazenagem de baterias BATTERY KDZ 651, infelizmente os paletes recebidos vieram virados, assim dificultando a movimentação e a paletização dos componentes, colocando em risco a integridade tanto dos paletes quanto da operação.  _x000a_"/>
    <s v="Deveriamos ter recebido os paletes desvirados para que assim não fosse nescessário a movimentação insegura. "/>
    <n v="30"/>
    <n v="1"/>
    <s v="5. Não urgente"/>
    <s v="N/A"/>
    <n v="0"/>
    <x v="1"/>
    <m/>
    <m/>
    <s v=""/>
  </r>
  <r>
    <s v="NCMR_20251004_131307_N733P29036"/>
    <s v="NCMR-2025-114989"/>
    <s v="Emitido"/>
    <s v="mayara.dossantos@wabtec.com"/>
    <s v="GA1"/>
    <x v="3"/>
    <d v="2025-10-04T03:00:00"/>
    <s v="N733P29036"/>
    <s v="N/A"/>
    <s v="BOLT   .50-13 X 2.25"/>
    <s v="Não"/>
    <m/>
    <s v="Material não condiz com PTN -  Medidas inconforme"/>
    <s v="Party Number BOLT   .50-13 X 2.25_x000a_"/>
    <n v="16"/>
    <n v="1"/>
    <s v="4. Pouco urgente"/>
    <s v="N/A"/>
    <n v="0"/>
    <x v="2"/>
    <s v="Fixa Brasil Distribuidora De Parafusos E Afins Ltda"/>
    <m/>
    <s v=""/>
  </r>
  <r>
    <s v="NCMR_20251004_035123_N402P47B13"/>
    <s v="NCMR-2025-114987"/>
    <s v="Emitido"/>
    <s v="murilo.rezende@wabtec.com"/>
    <s v="GA1"/>
    <x v="4"/>
    <d v="2025-10-04T03:00:00"/>
    <s v="N402P47B13"/>
    <s v="N/A"/>
    <s v="WASHER         5/8 REG"/>
    <s v="Não"/>
    <m/>
    <s v="Material encontrado no estoque não condiz com o part number."/>
    <s v="As arruelas deveriam ser de um modelo maior."/>
    <n v="17"/>
    <n v="1"/>
    <s v="4. Pouco urgente"/>
    <s v="N/A"/>
    <n v="0"/>
    <x v="3"/>
    <s v="Fixa Brasil Distribuidora De Parafusos E Afins Ltda"/>
    <m/>
    <s v=""/>
  </r>
  <r>
    <s v="NCMR_20251002_155447_41D712249G2"/>
    <m/>
    <s v="Emitido"/>
    <s v="mayara.dossantos@wabtec.com"/>
    <s v="GA1"/>
    <x v="5"/>
    <d v="2025-10-02T03:00:00"/>
    <s v="41D712249G2"/>
    <s v="N/A"/>
    <s v="Lever"/>
    <m/>
    <m/>
    <s v="MATERIAL RECEBIDO NÃO CONFERE COM PTN 16/09/2025 NF 216048_x000a_"/>
    <s v="MATERIAL CORRETO EM ANEXO"/>
    <n v="2"/>
    <n v="1"/>
    <s v="4. Pouco urgente"/>
    <s v="N/A"/>
    <n v="0"/>
    <x v="4"/>
    <s v="ERI-Erie Parts Warehouse"/>
    <s v="luciano.pereira@wabtec.com"/>
    <s v="Fornecedor"/>
  </r>
  <r>
    <s v="NCMR_20251002_101317_4X1796RBZ"/>
    <s v="NCMR-2025-114038"/>
    <s v="Emitido"/>
    <s v="washington.viana@wabtec.com"/>
    <s v="GA1"/>
    <x v="6"/>
    <d v="2025-10-01T03:00:00"/>
    <s v="4X1796RBZ"/>
    <s v="15-10J0-02193"/>
    <s v="16CP MODULE NYAB (776846-1585) REPAIRED"/>
    <s v="Não"/>
    <m/>
    <s v="Porção 16 apresentando falha de (freio reduzido 036 e LED Vermelho aceso) durante os testes de validação._x000a_"/>
    <s v="Porção sem falhas."/>
    <n v="1"/>
    <n v="1"/>
    <s v="5. Não urgente"/>
    <s v="AC44i"/>
    <n v="9885"/>
    <x v="1"/>
    <s v="NYAB"/>
    <m/>
    <s v=""/>
  </r>
  <r>
    <s v="NCMR_20251002_101012_4X1796RBZ"/>
    <s v="NCMR-2025-114037"/>
    <s v="Emitido"/>
    <s v="washington.viana@wabtec.com"/>
    <s v="GA1"/>
    <x v="7"/>
    <d v="2025-10-01T03:00:00"/>
    <s v="4X1796RBZ"/>
    <s v="18-05J0-02426KO"/>
    <s v="16CP MODULE NYAB (776846-1585) REPAIRED"/>
    <s v="Não"/>
    <m/>
    <s v="Durante os testes finais de freio porção 16 apresentou vazamento na parte frontal."/>
    <s v="Porção sem vazamentos"/>
    <n v="1"/>
    <n v="1"/>
    <s v="5. Não urgente"/>
    <s v="AC44i"/>
    <n v="9885"/>
    <x v="1"/>
    <s v="NYAB"/>
    <m/>
    <s v=""/>
  </r>
  <r>
    <s v="NCMR_20250928_133029_41C613036ABP1"/>
    <s v="NCMR-2025-112270"/>
    <s v="Emitido"/>
    <s v="fernando.sena@wabtec.com"/>
    <s v="GA1"/>
    <x v="8"/>
    <d v="2025-09-28T03:00:00"/>
    <s v="41C613036ABP1"/>
    <n v="29"/>
    <s v="UPPER-BEARING SHEL"/>
    <m/>
    <m/>
    <s v="Mancal superior ( casquilho) não deu montagem ao tentar instalar na loco 693 posição 3. Ao instalar novo casquilho deu montagem normalmente."/>
    <s v="Mancal superior ( casquilho) permitir montagem no bloco do MD"/>
    <n v="1"/>
    <n v="1"/>
    <s v="3. Urgente"/>
    <s v="AC44i"/>
    <n v="693"/>
    <x v="0"/>
    <s v="Miba Bearings US LLC"/>
    <m/>
    <s v=""/>
  </r>
  <r>
    <s v="NCMR_20250926_170044_41A212869P11RBZ"/>
    <s v="NCMR-2025-112257"/>
    <s v="Emitido"/>
    <s v="mayara.dossantos@wabtec.com"/>
    <s v="GA1"/>
    <x v="9"/>
    <d v="2025-09-26T03:00:00"/>
    <s v="41A212869P11RBZ"/>
    <s v="N/A"/>
    <s v="REPAIRED MAGNET SOLENOID VALVE"/>
    <m/>
    <m/>
    <s v="Material recebido sem a devida identificação. Componentes dos misturados dificultando a identificação do fisico x PartyNumbers_x000a__x000a_Itens:_x000a__x000a_41A212869P11RBZ_x000a_41A240644P2RBZ_x000a_41B549239ABP10RBZ_x000a_84A206749P1RBZ_x000a__x000a__x000a__x000a_"/>
    <s v="A identificação dos componentes devem ser individuais e os itens devem estar segregados de maneira que possa ser identificado. "/>
    <n v="7"/>
    <n v="1"/>
    <s v="4. Pouco urgente"/>
    <s v="N/A"/>
    <n v="0"/>
    <x v="1"/>
    <s v="Contagem Reman On-site"/>
    <m/>
    <s v=""/>
  </r>
  <r>
    <s v="NCMR_20250926_165637_4X1355RBZ"/>
    <s v="NCMR-2025-112269"/>
    <s v="Emitido"/>
    <s v="mayara.dossantos@wabtec.com"/>
    <s v="GA1"/>
    <x v="10"/>
    <d v="2025-09-26T03:00:00"/>
    <s v="4X1355RBZ"/>
    <s v="N/A"/>
    <s v="NYAB EPCU MODULE DBTV REPAIRED"/>
    <m/>
    <m/>
    <s v="Material recebido com dados inconformes. Itens faturados e recebidos são 4X1355RBZ, mas etiquetados incorretamente como componentes 4X1355. Inconformidade na identificação do componente. "/>
    <s v="Material deve estar identificado de acordo com PTN de faturamento.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"/>
    <n v="6"/>
    <n v="1"/>
    <s v="4. Pouco urgente"/>
    <s v="N/A"/>
    <n v="0"/>
    <x v="1"/>
    <s v="NYAB"/>
    <m/>
    <s v=""/>
  </r>
  <r>
    <s v="NCMR_20250925_165750_4X1796RBZ"/>
    <m/>
    <s v="Emitido"/>
    <s v="fernando.sena@wabtec.com"/>
    <s v="GA1"/>
    <x v="11"/>
    <d v="2025-09-25T03:00:00"/>
    <s v="4X1796RBZ"/>
    <s v="2209-L0-02753"/>
    <m/>
    <m/>
    <m/>
    <s v="Loco efetuou a troca da porção 16 por plano e não aplicava freio quando estava desligada. Ao substituir a porção 16 aplicou freio normalmente."/>
    <s v="Loco aplicar freio mesmo quando desligada"/>
    <n v="1"/>
    <n v="1"/>
    <s v="3. Urgente"/>
    <s v="DASH9"/>
    <n v="9033"/>
    <x v="4"/>
    <s v="NYAB/KNORR"/>
    <s v="flavio.soares@Wabtec.com"/>
    <s v="Fornecedor"/>
  </r>
  <r>
    <s v="NCMR_20250924_114501_41C667827G1"/>
    <s v="NCMR-2025-110478"/>
    <s v="Emitido"/>
    <s v="mayara.dossantos@wabtec.com"/>
    <s v="GA1"/>
    <x v="12"/>
    <d v="2025-09-24T03:00:00"/>
    <s v="41C667827G1"/>
    <s v="N/A"/>
    <s v="Silicone Sponge Gask Asm"/>
    <m/>
    <m/>
    <s v="Item inspecionado no recebimento e detectamos o mesmo erro já reportado na NCMR-2025-104303 . _x000a__x000a_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."/>
    <n v="2"/>
    <n v="1"/>
    <s v="3. Urgente"/>
    <s v="N/A"/>
    <n v="0"/>
    <x v="0"/>
    <s v="LGG Industrial, Inc."/>
    <m/>
    <s v=""/>
  </r>
  <r>
    <s v="NCMR_20250924_111223_121X1285RBZ"/>
    <s v="NCMR-2025-110467"/>
    <s v="Emitido"/>
    <s v="mayara.dossantos@wabtec.com"/>
    <s v="GA1"/>
    <x v="13"/>
    <d v="2025-09-24T03:00:00"/>
    <s v="121X1285RBZ"/>
    <s v="N/A"/>
    <s v="REPAIRED CYL ASM"/>
    <m/>
    <m/>
    <s v="Ao realizar a inspeção de recebimento, foi constatado que os componentes recebidos estão molhados/umidos, colocando em risco a integridade dos itens. "/>
    <s v="Componentes deveriam estar secos. "/>
    <n v="18"/>
    <n v="1"/>
    <s v="4. Pouco urgente"/>
    <s v="N/A"/>
    <n v="0"/>
    <x v="1"/>
    <s v="Contagem Reman On-site"/>
    <m/>
    <s v=""/>
  </r>
  <r>
    <s v="NCMR_20250924_110839_41A113439G1RBZ"/>
    <s v="NCMR-2025-110386"/>
    <s v="Emitido"/>
    <s v="fernando.sena@wabtec.com"/>
    <s v="GA1"/>
    <x v="14"/>
    <d v="2025-09-24T03:00:00"/>
    <s v="41A113439G1RBZ"/>
    <n v="312292"/>
    <s v="MOTOR DIESEL MODELO 7FDL AC 44 REPARADO"/>
    <m/>
    <m/>
    <s v="MD com falta de componente no CF8R ( suporte do chicote da bomba injetora ) e falta da trava da abraçadeira dos filtros de diesel."/>
    <s v="CF8R com suporte para fixação do chicote da bomba injetora e abraçadeira com trava"/>
    <n v="2"/>
    <n v="2"/>
    <s v="4. Pouco urgente"/>
    <s v="AC44i"/>
    <n v="9890"/>
    <x v="1"/>
    <s v="Contagem Reman On-site"/>
    <s v="gabriel.barbosa@wabtec.com"/>
    <s v="Fábrica"/>
  </r>
  <r>
    <s v="NCMR_20250923_091239_41A113439G1RBZ"/>
    <s v="NCMR-2025-111235"/>
    <s v="Emitido"/>
    <s v="carlos.vilchez@Wabtec.com"/>
    <s v="GA1"/>
    <x v="15"/>
    <d v="2025-09-23T03:00:00"/>
    <s v="41A113439G1RBZ"/>
    <n v="313003"/>
    <s v="MOTOR DIESEL MODELO 7FDL AC 44 REPARADO"/>
    <m/>
    <m/>
    <s v="Durante revisão da loco 9835 foi identificado vazamento de óleo na base de 3 conjuntos de força. Durante diagnóstico identificado falta de orings ( haste válvulas  nas base dos conjuntos de força. - causa do vazamento de óleo. /bomba)"/>
    <s v="Orings presentes e  adequadamente montados"/>
    <n v="1"/>
    <n v="3"/>
    <s v="2. Muito urgente"/>
    <s v="AC44i"/>
    <n v="9835"/>
    <x v="1"/>
    <s v="Contagem Reman On-site"/>
    <s v="gabriel.barbosa@wabtec.com"/>
    <s v="Fábrica"/>
  </r>
  <r>
    <s v="NCMR_20250922_102108_17KC108RBZ"/>
    <s v="NCMR-2025-108799"/>
    <s v="Emitido"/>
    <s v="bruna.montenegro@Wabtec.com"/>
    <s v="GA1"/>
    <x v="16"/>
    <d v="2025-09-20T03:00:00"/>
    <s v="17KC108RBZ  "/>
    <s v="KC09020006"/>
    <s v="CONTROLLER MASTER REPAIRED"/>
    <m/>
    <m/>
    <s v="Durante os testes de validação do controlador mestre foi identificado que a abertura do cames S em ponto 8, cortando a excitação da locomotiva._x000a_"/>
    <s v="Controlador funcionando conforme especificação."/>
    <n v="1"/>
    <n v="1"/>
    <s v="5. Não urgente"/>
    <s v="AC44i"/>
    <n v="8318"/>
    <x v="1"/>
    <s v="Contagem Reman On-site"/>
    <m/>
    <s v=""/>
  </r>
  <r>
    <s v="NCMR_20250919_161632_84D705080G1"/>
    <s v="NCMR-2025-109489"/>
    <s v="Emitido"/>
    <s v="roger.santos@wabtec.com"/>
    <s v="GA1"/>
    <x v="17"/>
    <d v="2025-09-19T03:00:00"/>
    <s v="84D705080G1"/>
    <s v="N/A"/>
    <s v="RETURN TUBE"/>
    <m/>
    <m/>
    <s v="Calha central dos Radiadores com chapa de fixação na base soldada fora do padrão da locomotiva._x000a_"/>
    <s v="Chapa com alguns centimetros para traz onde se casa com as entradas para os parafusos"/>
    <n v="2"/>
    <n v="1"/>
    <s v="3. Urgente"/>
    <s v="AC44i"/>
    <n v="9858"/>
    <x v="2"/>
    <s v="Metalfisa Metalurgica Eireli"/>
    <m/>
    <s v=""/>
  </r>
  <r>
    <s v="NCMR_20250919_153156_41A317303ACP43"/>
    <m/>
    <s v="Requisitado"/>
    <s v="sancho.oliveira@Wabtec.com"/>
    <s v="GA1"/>
    <x v="18"/>
    <d v="2025-09-19T03:00:00"/>
    <s v="41A317303ACP43"/>
    <s v="N/A"/>
    <s v="Transducer - DO NOT USE IN COOLING SYSTEM"/>
    <m/>
    <m/>
    <s v="Motor diesel S/N 312999 veio para araraquara com sensor de pressão de água P/N 41A317303ACP43, de acordo com o registro do eservices este P/N foi subsuper excedido pelo PN 41A317303ACP53._x000a_"/>
    <s v="Necessário realizar a substituição do sensor de pressão de água pelo PN 41A317303ACP53."/>
    <n v="1"/>
    <n v="1"/>
    <s v="4. Pouco urgente"/>
    <s v="N/A"/>
    <n v="0"/>
    <x v="0"/>
    <s v="Sensata Technologies, Inc."/>
    <m/>
    <s v=""/>
  </r>
  <r>
    <s v="NCMR_20250919_121343_41A113439G1RBZ"/>
    <s v="NCMR-2025-108224"/>
    <s v="Emitido"/>
    <s v="sancho.oliveira@Wabtec.com"/>
    <s v="GA1"/>
    <x v="19"/>
    <d v="2025-09-16T03:00:00"/>
    <s v="41A113439G1RBZ"/>
    <n v="312806"/>
    <s v="MOTOR DIESEL MODELO 7FDL AC 44 REPARADO"/>
    <m/>
    <m/>
    <s v="- Identificado durante os testes de saída do motor de OH da locomotiva 9884 desvio na regulagem de ponto de bomba injetora de toda bancada esquerda do motor diesel._x000a_"/>
    <s v="Foi realizado a correção da regulagem de ponto de bomba de toda bancada esquerda do motor diesel."/>
    <n v="16"/>
    <n v="16"/>
    <s v="5. Não urgente"/>
    <s v="AC44i"/>
    <n v="9884"/>
    <x v="4"/>
    <m/>
    <m/>
    <s v=""/>
  </r>
  <r>
    <s v="NCMR_20250918_164404_5GMG210"/>
    <s v="NCMR-2025-108779"/>
    <s v="Emitido"/>
    <s v="messias.cota@wabtec.com"/>
    <s v="GA2"/>
    <x v="20"/>
    <d v="2025-09-18T03:00:00"/>
    <s v="5GMG210RBZ"/>
    <s v="WE1511040"/>
    <s v="ALTERNATOR REPAIRED"/>
    <m/>
    <m/>
    <s v="Cabos internos do alternador em atrito"/>
    <s v="Cabos sem atritos ou com separadores"/>
    <n v="1"/>
    <n v="1"/>
    <s v="4. Pouco urgente"/>
    <s v="ES43BBi"/>
    <n v="1"/>
    <x v="4"/>
    <m/>
    <m/>
    <s v=""/>
  </r>
  <r>
    <s v="NCMR_20250918_145804_5GE761ANSRBZ"/>
    <s v="NCMR-2025-107685"/>
    <s v="Emitido"/>
    <s v="edsonaguiar.silva@wabtec.com"/>
    <s v="GA2"/>
    <x v="21"/>
    <d v="2025-09-18T03:00:00"/>
    <s v="5GE761ANSRBZ"/>
    <s v="EE12020502"/>
    <s v="REPAIRED TRACTION MOTOR 5GE761ANS"/>
    <m/>
    <m/>
    <s v="Ao realizar inspeção foi identificado pinhão com marcas de roçamento e aquecimento em alguns dentes do pinhão."/>
    <s v="Sem marcas no pinhão."/>
    <n v="1"/>
    <n v="1"/>
    <s v="3. Urgente"/>
    <s v="DASH9"/>
    <n v="8305"/>
    <x v="1"/>
    <s v="Contagem Reman On-site"/>
    <m/>
    <s v=""/>
  </r>
  <r>
    <s v="NCMR_20250918_090607_41A314692AVP1RBZ"/>
    <s v="NCMR-2025-107341"/>
    <s v="Emitido"/>
    <s v="joao.silva@wabtec.com"/>
    <s v="GA2"/>
    <x v="22"/>
    <d v="2025-09-14T03:00:00"/>
    <s v="41A314692AVP1RBZ"/>
    <s v="1223-0815"/>
    <s v="HVAC REPAIRED"/>
    <m/>
    <m/>
    <s v="Grade de proteção do ventilador do ar condicionado muito alta, impossibilitando a montagem da tampa de acabamento na locomotiva._x000a_"/>
    <s v="A grade de proteção deve permitir a montagem e fechamento da tampa de acabamento da locomotiva.  "/>
    <n v="1"/>
    <n v="1"/>
    <s v="5. Não urgente"/>
    <s v="ES44ACi"/>
    <n v="8467"/>
    <x v="1"/>
    <s v="Contagem Reman On-site"/>
    <m/>
    <s v=""/>
  </r>
  <r>
    <s v="NCMR_20250918_035056_41A314692AMP31"/>
    <s v="NCMR-2025-107312"/>
    <s v="Emitido"/>
    <s v="vitor.honorato@wabtec.com"/>
    <s v="GA1"/>
    <x v="23"/>
    <d v="2025-09-17T03:00:00"/>
    <s v="41A314692AMP31"/>
    <s v="0525-0380"/>
    <s v="AIR COND SPEC  NARROW DUCTS"/>
    <m/>
    <m/>
    <s v="Ar condicionado da locomotiva que chegou da fabrica (startup) não está refrigerando. Foi verificado todo o circuito e estava ok, porém mesmo assim o ar não refrigera."/>
    <s v="Ar condicionado funcionando nos modos de operação de refrigeração, aquecimento ou apenas ventilação, em todas as velocidades."/>
    <n v="1"/>
    <n v="1"/>
    <s v="5. Não urgente"/>
    <s v="ES44ACi"/>
    <n v="9610"/>
    <x v="3"/>
    <s v="ZUS-ZUS - Kit Consolidation"/>
    <m/>
    <s v=""/>
  </r>
  <r>
    <s v="NCMR_20250915_151814_84B548276P2"/>
    <s v="NCMR-2025-106644"/>
    <s v="Emitido"/>
    <s v="jean.vilarosa@wabtec.com"/>
    <s v="GA2"/>
    <x v="24"/>
    <d v="2025-09-15T03:00:00"/>
    <s v="84B548276P2"/>
    <s v="N/A"/>
    <s v="WEAR PLATE"/>
    <m/>
    <m/>
    <s v="Ao realizar a conferência do material recebido de GBD, foi constatado que o mesmo veio com a quantidade divergente referente a NF:215831, veio 2 unidades."/>
    <s v="O correto seria ter vindo apenas 1 unidade."/>
    <n v="1"/>
    <n v="1"/>
    <s v="5. Não urgente"/>
    <s v="N/A"/>
    <n v="0"/>
    <x v="2"/>
    <s v="Tecnifox Ind E Com Ltda Epp"/>
    <s v="miguel.ramos@wabtec.com"/>
    <s v="Fornecedor"/>
  </r>
  <r>
    <s v="NCMR_20250913_183204_4X1796RBZ"/>
    <s v="NCMR-2025-105469"/>
    <s v="Emitido"/>
    <s v="amanda.doria@wabtec.com"/>
    <s v="GA1"/>
    <x v="25"/>
    <d v="2025-09-13T03:00:00"/>
    <s v="4X1796RBZ"/>
    <s v="18-07J0-02444"/>
    <s v="16CP MODULE NYAB (776846-1585) REPAIRED"/>
    <m/>
    <m/>
    <s v="Não foi possível instalar porção de freio devido os blocos estarem montados desalinhados. "/>
    <s v="Blocos da porção de freio montados alinhados."/>
    <n v="1"/>
    <n v="1"/>
    <m/>
    <s v="AC44i"/>
    <n v="8427"/>
    <x v="4"/>
    <s v="NYAB"/>
    <s v="flavio.soares@Wabtec.com"/>
    <s v="Fornecedor"/>
  </r>
  <r>
    <s v="NCMR_20250912_103613_41C667827G1 "/>
    <s v="NCMR-2025-104856 "/>
    <s v="Emitido"/>
    <s v="hinaiane.dasilva126@wabtec.com"/>
    <s v="GA2"/>
    <x v="26"/>
    <d v="2025-09-12T03:00:00"/>
    <s v="41C667827G1 "/>
    <s v="N/A"/>
    <s v="Silicone Sponge Gask Asm"/>
    <m/>
    <m/>
    <s v="O PN 41C667827G1 se refere a um kit que contém 4 itens, sendo: 2 un. do 41C667827P1, 1 un. do 41C667827P2 e 1 un. do 41C667827P3._x000a_O recebimento de 1 kit consta como recebimento de 4 unidades do PN 41C667827G1, quando deveria ser de 1 unidade do PN 41C667827G1 para cada kit._x000a_"/>
    <s v="O recebimento de 1 kit, deve constar como recebimento de apenas uma unidade do PN 41C667827G1. Que por sua vez deve ser composto por 2 unidades do 41C667827P1 + 1 un do 41C667827P2 e 1 un do 41C667827P3"/>
    <n v="2"/>
    <n v="0"/>
    <m/>
    <s v="N/A"/>
    <n v="0"/>
    <x v="0"/>
    <s v="LGG Industrial, Inc."/>
    <m/>
    <s v=""/>
  </r>
  <r>
    <s v="NCMR_20250911_232437_000000"/>
    <s v="NCMR-2025-106981"/>
    <s v="Emitido"/>
    <s v="john.silva@wabtec.com"/>
    <s v="GA2"/>
    <x v="27"/>
    <d v="2025-09-11T03:00:00"/>
    <s v="84D739269ABG1"/>
    <s v="N/A"/>
    <s v="WATER PIPING"/>
    <m/>
    <m/>
    <s v="As mangueiras de aplicação na ES 43 nos sistemas de água e óleo veem com uma proteção entorno na mangueira e durante aplicação faz se necessário a remoção das proteções de todas as mangueiras antes da aplicação, pois nessa condição foi passado que a mesma retem resíduos químicos durante a lavagem da locomotiva, e dessa forma provoca a degradação das mangueiras quimicamente."/>
    <s v="Segundo o que foi orietando as mangueiras deveriam vir sem as proteções."/>
    <n v="0"/>
    <n v="1"/>
    <s v="5. Não urgente"/>
    <s v="ES43BBi"/>
    <n v="8331"/>
    <x v="4"/>
    <m/>
    <m/>
    <s v=""/>
  </r>
  <r>
    <s v="NCMR_20250911_114415_41C667827G1"/>
    <s v="NCMR-2025-104303"/>
    <s v="Emitido"/>
    <s v="mayara.dossantos@wabtec.com"/>
    <s v="GA1"/>
    <x v="28"/>
    <d v="2025-09-11T03:00:00"/>
    <s v="41C667827G1"/>
    <s v="N/A"/>
    <s v="Silicone Sponge Gask Asm"/>
    <m/>
    <m/>
    <s v="O PN 41C667827G1 se refere a um kit que contém 4 itens. Foram recebidas 4 peças (1kit) e foi considerado  o recebimento de 4kits. Cada kit deve conter 2 un. do 41C667827P1, 1 un. do 41C667827P2 e 1 un. do 41C667827P3._x000a_O recebimento de 1 kit consta como recebimento de 4 unidades do PN 41C667827G1, quando deveria ser de 1 unidade do PN 41C667827G1 para cada kit._x000a__x000a_Há portanto um excesso de 3 kits no saldo deste PN. Foi recebido 1kit e consta como recebimento de 4."/>
    <s v="O recebimento de 1 kit, deve constar como recebimento de apenas uma unidade do PN 41C667827G1. Que por sua vez deve ser composto por 2 unidades do 41C667827P1 + 1 un do 41C667827P2 e 1 un do 41C667827P3."/>
    <n v="3"/>
    <n v="1"/>
    <m/>
    <s v="DASH9"/>
    <n v="9044"/>
    <x v="0"/>
    <s v="LGG Industrial, Inc."/>
    <m/>
    <s v=""/>
  </r>
  <r>
    <s v="NCMR_20250911_113219_41B513098P2"/>
    <s v="NCMR-2025-104166 "/>
    <s v="Emitido"/>
    <s v="mayara.dossantos@wabtec.com"/>
    <s v="GA1"/>
    <x v="29"/>
    <d v="2025-09-11T03:00:00"/>
    <s v="41B513098P2"/>
    <s v="N/A"/>
    <s v="GASKET"/>
    <m/>
    <m/>
    <s v="O recebimento de 1 kit consta como recebimento de 4 unidades do PN 41C667827G1, quando deveria ser de 1 unidade do PN 41C667827G1 para cada kit."/>
    <s v="Material físico conforme especificação técnica do part number. Item correto é uma junta de papel."/>
    <n v="2"/>
    <n v="1"/>
    <m/>
    <s v="N/A"/>
    <n v="0"/>
    <x v="0"/>
    <s v="Sealing Devices Inc."/>
    <s v="luciano.pereira@wabtec.com, _x000d__x000a_thiago.santos@wabtec.com"/>
    <s v="Fornecedor"/>
  </r>
  <r>
    <s v="NCMR_20250910_131719_115X1033-1"/>
    <s v="NCMR-2025-103508"/>
    <s v="Emitido"/>
    <s v="daiana.costa@wabtec.com"/>
    <s v="GA1"/>
    <x v="30"/>
    <d v="2025-09-10T03:00:00"/>
    <s v="115X1033-1"/>
    <s v="N/A"/>
    <s v="Gasket, Cork/Rubber, Rocker End Cap"/>
    <m/>
    <m/>
    <s v="Há portanto um excesso de 3 kits no saldo deste PN. Foi recebido 1kit e consta como recebimento de 4."/>
    <s v="material fisico venha correto com o partnumber."/>
    <n v="20"/>
    <n v="1"/>
    <m/>
    <s v="N/A"/>
    <n v="0"/>
    <x v="0"/>
    <s v="Sealing Devices Inc."/>
    <s v="luciano.pereira@wabtec.com, _x000d__x000a_thiago.santos@wabtec.com"/>
    <s v="Fornecedor"/>
  </r>
  <r>
    <s v="NCMR_20250910_125322_41A212633P4"/>
    <s v="NCMR-2025-103494"/>
    <s v="Emitido"/>
    <s v="daiana.costa@wabtec.com"/>
    <s v="GA1"/>
    <x v="31"/>
    <d v="2025-09-10T03:00:00"/>
    <s v="41A212633P4"/>
    <s v="N/A"/>
    <s v="SHT &amp; BRG"/>
    <m/>
    <m/>
    <s v="-1 un. do 41C667827P3."/>
    <s v="material completo com todas as partes."/>
    <n v="1"/>
    <n v="1"/>
    <m/>
    <s v="N/A"/>
    <n v="0"/>
    <x v="0"/>
    <s v="Commercial Vehicle Systems Inc"/>
    <s v="luciano.pereira@wabtec.com, _x000d__x000a_thiago.santos@wabtec.com"/>
    <s v="Fornecedor"/>
  </r>
  <r>
    <s v="NCMR_20250909_170411_41A313392DLP2"/>
    <s v="NCMR-2025-103354"/>
    <s v="Emitido"/>
    <s v="daniel.alves2@wabtec.com"/>
    <s v="GA1"/>
    <x v="32"/>
    <d v="2025-09-09T03:00:00"/>
    <s v="41A313392DLP2"/>
    <s v="N/A"/>
    <s v="WIRE-CABLE 2+DRAIN #20AWG"/>
    <m/>
    <m/>
    <s v="O recebimento de 1 kit consta como recebimento de 4 unidades do PN 41C667827G1, quando deveria ser de 1 unidade do PN 41C667827G1 para cada kit."/>
    <s v="Medida idela em peças de 280 FT "/>
    <n v="1"/>
    <n v="1"/>
    <m/>
    <s v="AC44i"/>
    <n v="0"/>
    <x v="0"/>
    <s v="Prysmian Cables and Systems USA, LLC"/>
    <s v="luciano.pereira@wabtec.com, _x000d__x000a_thiago.santos@wabtec.com"/>
    <s v="Fornecedor"/>
  </r>
  <r>
    <s v="NCMR_20250908_171615_41B517789ADG2"/>
    <s v="NCMR-2025-102557"/>
    <s v="Emitido"/>
    <s v="mayara.dossantos@wabtec.com"/>
    <s v="GA1"/>
    <x v="33"/>
    <d v="2025-09-08T03:00:00"/>
    <s v="41B517789ADG2"/>
    <s v="N/A"/>
    <s v="CAP ASM"/>
    <m/>
    <m/>
    <s v="Material não conforme, material faltando peça. PN referente a Tampa. NF de recebimento 179917. _x000a_"/>
    <s v="Material correto - CAP "/>
    <n v="1"/>
    <n v="1"/>
    <m/>
    <s v="N/A"/>
    <n v="0"/>
    <x v="0"/>
    <s v="Wisco Products, Incorporated"/>
    <s v="luciano.pereira@wabtec.com, _x000d__x000a_thiago.santos@wabtec.com"/>
    <s v="Fornecedor"/>
  </r>
  <r>
    <s v="NCMR_20250908_054205_132X1825-2RBZ"/>
    <s v="NCMR-2025-102581"/>
    <s v="Emitido"/>
    <s v="jefferson.silva@wabtec.com"/>
    <s v="GA1"/>
    <x v="34"/>
    <d v="2025-09-08T03:00:00"/>
    <s v="132X1825-2RBZ"/>
    <s v="C5750155"/>
    <s v="PUMP FUEL DIESEL HIGH PRESSURE REPAIRED MSA"/>
    <m/>
    <m/>
    <s v="Bomba injetora instalada na loco 2512 devido a troca por MWH, ao realizar testes de funcionamento apresentou vazamento de Combustivel entre a junção da bomba e o tubo de alta pressão, foi substituido o tubo de alta para verificação porém continuou o vazamento, foi substituido a Bomba Injetora e validado em testes e não apresentou mais vazamentos. Realizado teste de trinca(LP) na sede da Bomba Injetora, apresentou indicios de trinca na regiao da sede.(fotos em anexo)"/>
    <s v="Sem vazamentos."/>
    <n v="1"/>
    <n v="1"/>
    <m/>
    <s v="AC44i"/>
    <n v="2512"/>
    <x v="1"/>
    <s v="Contagem Reman On-site"/>
    <s v="flavio.soares@Wabtec.com"/>
    <s v="Fornecedor"/>
  </r>
  <r>
    <s v="NCMR_20250904_204033_17FE187A8"/>
    <s v="NCMR-2025-101271"/>
    <s v="Emitido"/>
    <s v="murilo.rezende@wabtec.com"/>
    <s v="GA1"/>
    <x v="35"/>
    <d v="2025-09-04T03:00:00"/>
    <s v="17FE187A8"/>
    <s v="FE25010823M"/>
    <s v="CARD"/>
    <m/>
    <m/>
    <s v="Durante a inspeção de estoque, foi detectado um amassado nos pinos do componente que o deixa inutilizável."/>
    <s v="O estado correto dos pinos do componente, não amassados."/>
    <n v="1"/>
    <n v="1"/>
    <m/>
    <s v="N/A"/>
    <n v="0"/>
    <x v="0"/>
    <s v="SANMINA CORP."/>
    <s v="luciano.pereira@wabtec.com, _x000d__x000a_thiago.santos@wabtec.com"/>
    <s v="Fornecedor"/>
  </r>
  <r>
    <s v="NCMR_20250904_202003_41A242974P1"/>
    <s v="NCMR-2025-101280"/>
    <s v="Emitido"/>
    <s v="murilo.rezende@wabtec.com"/>
    <s v="GA1"/>
    <x v="36"/>
    <d v="2025-09-04T03:00:00"/>
    <s v="41A242974P1"/>
    <s v="N/A"/>
    <s v="Latch, Spring  1 latch and 1 pin"/>
    <m/>
    <m/>
    <s v="Material tem peças faltantes, no caso um pino."/>
    <s v="Falta um pino para o material estar completo."/>
    <n v="1"/>
    <n v="1"/>
    <m/>
    <s v="N/A"/>
    <n v="0"/>
    <x v="0"/>
    <s v="Southco, Inc."/>
    <s v="luciano.pereira@wabtec.com, _x000d__x000a_thiago.santos@wabtec.com"/>
    <s v="Fornecedor"/>
  </r>
  <r>
    <s v="NCMR_20250904_104919_41A212869ADP2"/>
    <s v="NCMR-2025-100770"/>
    <s v="Emitido"/>
    <s v="lucas.rocha@wabtec.com"/>
    <s v="GA1"/>
    <x v="37"/>
    <d v="2025-09-04T03:00:00"/>
    <s v="41A212869ADP2"/>
    <s v="N/A"/>
    <s v="MAG VALVE 3WAY PILOT"/>
    <m/>
    <m/>
    <s v="Cabos rompidos. Quando a embalagem foi aberta, foi identificado os cabos já rompidos. A embalagem também apresentava marcas e avarias."/>
    <s v="cabos intactos"/>
    <n v="1"/>
    <n v="1"/>
    <m/>
    <s v="ES44ACi"/>
    <n v="2554"/>
    <x v="0"/>
    <s v="Intek Systems"/>
    <s v="luciano.pereira@wabtec.com, _x000d__x000a_thiago.santos@wabtec.com"/>
    <s v="Fornecedor"/>
  </r>
  <r>
    <s v="NCMR_20250827_220031_132X1827"/>
    <s v="NCMR-2025-098303"/>
    <s v="Emitido"/>
    <s v="murilo.rezende@wabtec.com"/>
    <s v="GA1"/>
    <x v="38"/>
    <d v="2025-08-27T03:00:00"/>
    <s v="132X1827"/>
    <s v="N/A"/>
    <s v="FUEL FILTER HSG"/>
    <m/>
    <m/>
    <s v="Foi detectado um amassado no local onde é aplicado uma tampa, o amassado impossibilida tal aplicação."/>
    <s v="É esperado que toda a circunferencia da peça esteja sem nenhum amassado para a tampa poder encaixar sem problemas._x000a_"/>
    <n v="1"/>
    <n v="1"/>
    <m/>
    <s v="N/A"/>
    <n v="0"/>
    <x v="0"/>
    <s v="GRV-Grove City Manufacturing"/>
    <s v="luciano.pereira@wabtec.com, _x000d__x000a_thiago.santos@wabtec.com"/>
    <s v="Fornecedor"/>
  </r>
  <r>
    <s v="NCMR_20250827_173741_5GDY130A1"/>
    <s v="NCMR-2025-098300"/>
    <s v="Emitido"/>
    <s v="john.silva@wabtec.com"/>
    <s v="GA2"/>
    <x v="39"/>
    <d v="2025-08-25T03:00:00"/>
    <s v="5GDY130A1"/>
    <s v="1167150-1"/>
    <s v="FAN A2A 26IN"/>
    <m/>
    <m/>
    <s v="Ventilador do AIR TO AIR com terminal fora do padrão para locomotiva._x000a__x000a_NCMR INFORMATIVO"/>
    <s v="Terminal olhal para aplicação no parafuso do isolador para  3/8&quot; "/>
    <n v="1"/>
    <n v="1"/>
    <m/>
    <s v="ES43BBi"/>
    <n v="650"/>
    <x v="0"/>
    <s v="Buffalo Forge, S.A. de C.V."/>
    <s v="luciano.pereira@wabtec.com, _x000d__x000a_thiago.santos@wabtec.com"/>
    <s v="Fornecedor"/>
  </r>
  <r>
    <s v="NCMR_20250827_172431_84E904482ABG1RBZ"/>
    <s v="NCMR-2025-098289"/>
    <s v="Emitido"/>
    <s v="john.silva@wabtec.com"/>
    <s v="GA2"/>
    <x v="40"/>
    <d v="2025-08-25T03:00:00"/>
    <s v="84E904482ABG1RBZ"/>
    <s v="GACW25010001"/>
    <s v="AIR COMPRESSOR REPAIRED"/>
    <m/>
    <m/>
    <s v="Visor de óleo do compressor pintado durante revisão do componente. O visor tem o PN 3X10432 e número de série GACW25010001. O compressor tem o PN 84E904482ABG1RBZ e número de série "/>
    <s v="Visor visível sem tinta no vidro."/>
    <n v="1"/>
    <n v="1"/>
    <m/>
    <s v="ES43BBi"/>
    <n v="650"/>
    <x v="5"/>
    <s v="Wabtec Corporation"/>
    <s v="luciano.pereira@wabtec.com, _x000d__x000a_thiago.santos@wabtec.com"/>
    <s v="Fornecedor"/>
  </r>
  <r>
    <s v="NCMR_20250825_091837_N22P35152B13"/>
    <s v="NCMR-2025-096504"/>
    <s v="Emitido"/>
    <s v="linaldo.ramos@wabtec.com"/>
    <s v="GA1"/>
    <x v="41"/>
    <d v="2025-08-23T03:00:00"/>
    <s v="N22P35152B13"/>
    <s v="N/A"/>
    <s v="Bolt Hex Hd"/>
    <m/>
    <m/>
    <s v="PN trocado, parafuso recebido maior do que as especificações do PN."/>
    <s v="Material físico conforme as especificações técnicas do PN."/>
    <n v="58"/>
    <n v="1"/>
    <m/>
    <s v="N/A"/>
    <n v="0"/>
    <x v="0"/>
    <s v="ELK-Hanover Park Distribution(ELK)"/>
    <s v="luciano.pereira@wabtec.com, _x000d__x000a_thiago.santos@wabtec.com"/>
    <s v="Fornecedor"/>
  </r>
  <r>
    <s v="NCMR_20250824_104300_41A314692AMP22RBZ"/>
    <m/>
    <s v="Emitido"/>
    <s v="amanda.doria@wabtec.com"/>
    <s v="GA1"/>
    <x v="42"/>
    <d v="2025-08-24T00:00:00"/>
    <s v="41A314692AMP22RBZ"/>
    <s v="G0232K17"/>
    <s v="REPAIRED AIR CONDITIONER"/>
    <m/>
    <m/>
    <s v="Ar condicionado recém instalado funciona por aproximadamente 3 minutos, depois corta refrigeração e ventilação. Após a troca do ar condicionado, foram realizados testes e verificado que o ar condicionado funciona normalmente por aproximadamente 3 minutos, após para de operar cortando a refrigeração e ventilação. Verificado circuito elétrico e está ok."/>
    <s v="Ar condicionado deve funcionar continuamente sem problemas."/>
    <n v="1"/>
    <n v="1"/>
    <m/>
    <s v="AC44i"/>
    <n v="9864"/>
    <x v="1"/>
    <s v="Contagem Reman On-site"/>
    <s v="flavio.soares@Wabtec.com"/>
    <s v="Fornecedor"/>
  </r>
  <r>
    <s v="NCMR_20250823_051935_41A296352CMP34RBZ"/>
    <s v="NCMR-2025-096480"/>
    <s v="Emitido"/>
    <s v="derick.figueiredo@wabtec.com"/>
    <s v="GA1"/>
    <x v="43"/>
    <d v="2025-08-22T03:00:00"/>
    <s v="41A296352CMP34RBZ"/>
    <s v="12-02-J0-00273"/>
    <s v="MODULO REPARADO MSA"/>
    <m/>
    <m/>
    <s v="Loco atuando falha de freio 076._x000a_"/>
    <s v="Esperando atuando do sistema de freio sem presença de mensagens de falha e/ou restrições."/>
    <n v="1"/>
    <n v="1"/>
    <m/>
    <s v="DASH9"/>
    <n v="9041"/>
    <x v="1"/>
    <s v="Contagem Reman On-site"/>
    <s v="flavio.soares@Wabtec.com"/>
    <s v="Fornecedor"/>
  </r>
  <r>
    <s v="NCMR_20250821_211045_41A315082P5"/>
    <s v="NCMR-2025-096476"/>
    <s v="Emitido"/>
    <s v="mayara.dossantos@wabtec.com"/>
    <s v="GA1"/>
    <x v="44"/>
    <d v="2025-08-21T03:00:00"/>
    <s v="41A315082P5"/>
    <s v="N/A"/>
    <s v="Tubing Plastic, 0,5in Flex Brake Tube,ft"/>
    <m/>
    <m/>
    <s v="Material com diferença nas medidas. Medidas encontrada - 3/8 "/>
    <s v="Medidas corretas - 1/2_x000a_Tubing Plastic, 1/2in Flex Brake Tube,ft"/>
    <n v="6"/>
    <n v="1"/>
    <m/>
    <s v="N/A"/>
    <n v="0"/>
    <x v="0"/>
    <s v="LGG Industrial, Inc."/>
    <s v="luciano.pereira@wabtec.com, _x000d__x000a_thiago.santos@wabtec.com"/>
    <s v="Fornecedor"/>
  </r>
  <r>
    <s v="NCMR_20250821_192411_41B542608BVP2"/>
    <m/>
    <s v="Emitido"/>
    <s v="jean.vilarosa@wabtec.com"/>
    <s v="GA2"/>
    <x v="45"/>
    <d v="2025-08-18T03:00:00"/>
    <s v="41B542608BVP2"/>
    <s v="N/A"/>
    <m/>
    <m/>
    <m/>
    <s v="Material recebido na data 18/08, o mesmo veio avariado uma das pontas está quebrada."/>
    <s v="Material sem avaria."/>
    <n v="1"/>
    <n v="1"/>
    <m/>
    <s v="N/A"/>
    <n v="0"/>
    <x v="4"/>
    <m/>
    <m/>
    <s v=""/>
  </r>
  <r>
    <s v="NCMR_20250821_192138_156B6212CRP109G"/>
    <m/>
    <s v="Emitido"/>
    <s v="jean.vilarosa@wabtec.com"/>
    <s v="GA2"/>
    <x v="46"/>
    <d v="2025-08-18T03:00:00"/>
    <s v="156B6212CRP109G"/>
    <s v="N/A"/>
    <m/>
    <m/>
    <m/>
    <s v="Material recebido no dia 18/08, PN da etiqueta não condizente com  PN que veio fisico, fisico veio o PN:156B620CGP179G"/>
    <s v="PN fisico condizente com a etiqueta o certo seria PN:156B6212CRP109G"/>
    <n v="1"/>
    <n v="1"/>
    <m/>
    <s v="N/A"/>
    <n v="0"/>
    <x v="4"/>
    <m/>
    <m/>
    <s v=""/>
  </r>
  <r>
    <s v="NCMR_20250821_134628_n22p29100b13"/>
    <m/>
    <s v="Emitido"/>
    <s v="gabriel.perez@wabtec.com"/>
    <s v="GA1"/>
    <x v="47"/>
    <d v="2025-08-21T03:00:00"/>
    <s v="N22P29100B13"/>
    <s v="N/A"/>
    <s v="Bolt, Hex .50-13 X 6.25 Lg"/>
    <m/>
    <m/>
    <s v="Pela segunda vez, parafuso veio com medidas inconformes com a especificação técnica. Sendo maior do que o especificado. "/>
    <s v="O estado correto é em que as medidas descritas no produto sejam equivalentes as medidas reais do produto. a seguir foto do parafuso correto retirado do truck em funcionamento, e ao lado parafuso novo recebido pelo AX."/>
    <n v="12"/>
    <n v="1"/>
    <m/>
    <s v="DASH9"/>
    <n v="0"/>
    <x v="0"/>
    <s v="GS Operating, LLC"/>
    <s v="miguel.ramos@wabtec.com"/>
    <s v="Fornecedor"/>
  </r>
  <r>
    <s v="NCMR_20250819_170303_4X1355RBZ"/>
    <m/>
    <s v="Emitido"/>
    <s v="welton.ferreira@wabtec.com"/>
    <s v="GA1"/>
    <x v="48"/>
    <d v="2025-08-19T03:00:00"/>
    <s v="4X1355RBZ"/>
    <s v="16-02B0-00042"/>
    <s v="NYAB EPCU MODULE DBTV REPAIRED"/>
    <m/>
    <m/>
    <s v="Material entregue na área não corresponde ao modelo aplicado na frota AC44/ES44/D9, material específico de aplicação ES43BBi (PN - 84A243126P1) não possui reservatório na parte superior._x000a__x000a_Verificar estoque!!!"/>
    <s v="Porção DBTV PN-4X1355RBZ possui reservatório na parte superior."/>
    <n v="1"/>
    <n v="1"/>
    <m/>
    <s v="AC44i"/>
    <n v="613"/>
    <x v="1"/>
    <s v="Contagem Reman On-site"/>
    <s v="miguel.ramos@wabtec.com"/>
    <s v="Fornecedor"/>
  </r>
  <r>
    <s v="NCMR_20250819_164319_5GMG210A3"/>
    <m/>
    <s v="Emitido"/>
    <s v="messias.cota@wabtec.com"/>
    <s v="GA2"/>
    <x v="49"/>
    <d v="2025-08-19T03:00:00"/>
    <s v="5GMG210A3"/>
    <s v="WE15110406"/>
    <s v="ALTERNATOR LOCO GMG"/>
    <m/>
    <m/>
    <s v="Alternador com bobina do rotor amassada. "/>
    <s v="Bobinas sem desvios"/>
    <n v="1"/>
    <n v="1"/>
    <m/>
    <s v="ES43BBi"/>
    <n v="650"/>
    <x v="4"/>
    <m/>
    <s v="jorge.silva@wabtec.com"/>
    <s v="Fábrica"/>
  </r>
  <r>
    <s v="NCMR_20250817_043812_17KC108RBZ"/>
    <m/>
    <s v="Emitido"/>
    <s v="vitor.honorato@wabtec.com"/>
    <s v="GA1"/>
    <x v="50"/>
    <d v="2025-08-17T03:00:00"/>
    <s v="17KC108RBZ"/>
    <s v="KC15060005"/>
    <s v="CONTROLLER MASTER REPAIRED"/>
    <m/>
    <m/>
    <s v="Em inspecao visual antes de instalar novo controlador mestre foi identificado que a alavanca de marcha estava sendo movimentada mesmo sem estar com a reversora. Video e foto em anexo."/>
    <s v="A alavanca de marcha nao pode ser movida sem que a reversora esteja conectada no controlador. "/>
    <n v="1"/>
    <n v="1"/>
    <m/>
    <s v="AC44i"/>
    <n v="9857"/>
    <x v="1"/>
    <s v="Contagem Reman On-site"/>
    <s v="vinicius.borgatti@wabtec.com"/>
    <s v="Fábrica"/>
  </r>
  <r>
    <s v="NCMR_20250816_085945_5GE752AH30RBZ"/>
    <m/>
    <s v="Emitido"/>
    <s v="fernando.sena@wabtec.com"/>
    <s v="GA1"/>
    <x v="51"/>
    <d v="2025-08-16T03:00:00"/>
    <s v="5GE752AH30RBZ"/>
    <s v="EE99092207"/>
    <s v="MOTOR DE TRACAO 5GE752RBZ REPARADO MSA"/>
    <m/>
    <m/>
    <s v="Motor de tração entregue ao Back Shop e ao remover os parafusos que travam o rotor foi percebido que um dos parafusos estava com a ponta interna quebrada internamente "/>
    <s v="Motor de tração isento de defeitos"/>
    <n v="1"/>
    <n v="1"/>
    <m/>
    <s v="DASH9"/>
    <n v="9041"/>
    <x v="1"/>
    <s v="Contagem Reman On-site"/>
    <s v="jorge.silva@wabtec.com"/>
    <s v="Fábrica"/>
  </r>
  <r>
    <s v="NCMR_20250814_114956_5GMG192RBZ"/>
    <m/>
    <s v="Emitido"/>
    <s v="daniel.alves2@wabtec.com"/>
    <s v="GA1"/>
    <x v="52"/>
    <d v="2025-08-14T03:00:00"/>
    <s v="5GMG192RBZ"/>
    <s v="N/A"/>
    <s v="ALTERNATOR AC 44 REPARADO"/>
    <m/>
    <m/>
    <s v="Palete de alternador em padrão no qual não oferece segurança nos transporte, presos com ganchos no qual ao observar em detalhes não estão totalmente rosqueados, gerando riscos nos içamentos e deslocamentos. "/>
    <s v="A forma correta é a utilização de pallet de modelo correto com os calços lateral onde o material é fixado. "/>
    <n v="3"/>
    <n v="1"/>
    <m/>
    <s v="N/A"/>
    <n v="0"/>
    <x v="1"/>
    <s v="Contagem Reman On-site"/>
    <m/>
    <s v=""/>
  </r>
  <r>
    <s v="NCMR_20250814_112119_84D745802G1"/>
    <m/>
    <s v="Emitido"/>
    <s v="daniel.alves2@wabtec.com"/>
    <s v="GA1"/>
    <x v="53"/>
    <d v="2025-08-14T03:00:00"/>
    <s v="84D745802G1"/>
    <s v="N/A"/>
    <s v="PALETE PARA MOTOR DE TRACAO METALICO"/>
    <m/>
    <m/>
    <s v="Recebemos motores em paletes onde os mesmo não vem encaixados conforme o padrão. Paletes desenvolvidos pela fábrica mas não vêm atendendo os padrão de segurança necessário. "/>
    <s v="O correto é o material estar completamente encaixado no palete, tento maior fixação e segurança nos transporte. "/>
    <n v="4"/>
    <n v="1"/>
    <m/>
    <s v="N/A"/>
    <n v="0"/>
    <x v="1"/>
    <s v="DPI Desenvolvimento De Processos Industriais Ltda Epp"/>
    <m/>
    <s v=""/>
  </r>
  <r>
    <s v="NCMR_20250812_141656_17FL500RBZ"/>
    <m/>
    <s v="Emitido"/>
    <s v="fernando.sena@wabtec.com"/>
    <s v="GA1"/>
    <x v="54"/>
    <d v="2025-08-12T03:00:00"/>
    <s v="17FL500RBZ"/>
    <s v="FL09124045"/>
    <s v="PANEL REPAIRED MSA"/>
    <m/>
    <m/>
    <s v="Painel recem instalado na loco 9828 por falha de fonte LPS veio apresentar novas falhas ( Falha de DB2A+) após a instalação: "/>
    <s v="Painel CIO sem falhas"/>
    <n v="1"/>
    <n v="1"/>
    <m/>
    <s v="AC44i"/>
    <n v="9828"/>
    <x v="1"/>
    <s v="Contagem Reman On-site"/>
    <s v="josimar.miranda@wabtec.com"/>
    <s v="Fábrica"/>
  </r>
  <r>
    <s v="NCMR_20250812_123516_41A219499ABP374"/>
    <m/>
    <s v="Emitido"/>
    <s v="mayara.dossantos@wabtec.com"/>
    <s v="GA2"/>
    <x v="55"/>
    <d v="2025-08-12T03:00:00"/>
    <s v="41A219499ABP374"/>
    <s v="N/A"/>
    <s v="O-RING"/>
    <m/>
    <m/>
    <s v="Material recebido não esta de acordo com PTN - Recebido Parafusos"/>
    <s v="Material correto seria Oring"/>
    <n v="5"/>
    <n v="1"/>
    <m/>
    <s v="N/A"/>
    <n v="0"/>
    <x v="0"/>
    <s v="Sealing Devices Inc."/>
    <s v="luciano.pereira@wabtec.com, _x000d__x000a_thiago.santos@wabtec.com"/>
    <s v="Fornecedor"/>
  </r>
  <r>
    <s v="NCMR_20250811_155829_84D705020ABG4"/>
    <s v="NCMR-2025-090229"/>
    <s v="Emitido"/>
    <s v="vitor.honorato@wabtec.com"/>
    <s v="GA1"/>
    <x v="56"/>
    <d v="2025-08-08T03:00:00"/>
    <s v="84D705020ABG4"/>
    <s v="N/A"/>
    <s v="Cover Assembly , Lube Oil Filter"/>
    <m/>
    <m/>
    <s v="Durante uma troca de tampa do alojamento dos filtros de óleo lubrificante que chegou trincada, a nova tampa não deu alinhamento correto e não permitiu que fosse possível fechar o alojamento._x000a_"/>
    <s v="A tampa do alojamento deveria se alinhar e permitir o fechamento. "/>
    <n v="1"/>
    <n v="1"/>
    <m/>
    <s v="AC44i"/>
    <n v="9840"/>
    <x v="0"/>
    <s v="EFM-EFM-Erie Fabrication Manufacturing"/>
    <s v="miguel.ramos@wabtec.com"/>
    <s v="Fornecedor"/>
  </r>
  <r>
    <s v="NCMR_20250811_085721_41B544353G8"/>
    <m/>
    <s v="Emitido"/>
    <s v="murilo.rezende@wabtec.com"/>
    <s v="GA1"/>
    <x v="57"/>
    <d v="2025-08-08T03:00:00"/>
    <s v="41B544353G8"/>
    <s v="N/A"/>
    <s v="Hose"/>
    <m/>
    <m/>
    <s v="PN trocado."/>
    <s v="Esperava-se o material condizente com o PN."/>
    <n v="2"/>
    <n v="1"/>
    <m/>
    <s v="N/A"/>
    <n v="0"/>
    <x v="0"/>
    <s v="Power Drives, Inc."/>
    <s v="luciano.pereira@wabtec.com, _x000d__x000a_thiago.santos@wabtec.com"/>
    <s v="Fornecedor"/>
  </r>
  <r>
    <s v="NCMR_20250808_084403_5GEB13B10RBZ"/>
    <m/>
    <s v="Emitido"/>
    <s v="fernando.sena@wabtec.com"/>
    <s v="GA1"/>
    <x v="58"/>
    <d v="2025-08-08T03:00:00"/>
    <s v="5GEB13B10RBZ"/>
    <s v="CTH150343M"/>
    <s v="MOTOR DE TRACAO REPARADO"/>
    <m/>
    <m/>
    <s v="Motor de tração não foi utilizado pelo Back Shop devido estar com bastante sujidade e com juntas reutilizadas, além de parafusos do alojamento do rolamento sem a pintura na cabeça em amarelo conforme acordado._x000a_"/>
    <s v="Motor de tração com juntas novas e áreas de aplicação limpas"/>
    <n v="1"/>
    <n v="2"/>
    <m/>
    <s v="AC44i"/>
    <n v="8298"/>
    <x v="1"/>
    <s v="Contagem Reman On-site"/>
    <s v="jorge.silva@wabtec.com"/>
    <s v="Fábrica"/>
  </r>
  <r>
    <s v="NCMR_20250731_125911_84B103616G1"/>
    <m/>
    <s v="Emitido"/>
    <s v="gabriel.perez@wabtec.com"/>
    <s v="GA1"/>
    <x v="59"/>
    <d v="2025-07-31T03:00:00"/>
    <s v="84B103616G1"/>
    <s v="N/A"/>
    <s v="Brake Lever"/>
    <m/>
    <m/>
    <s v="Orifício extra inconforme com especificação técnica do material."/>
    <s v="Sem orifício extra."/>
    <n v="11"/>
    <n v="1"/>
    <m/>
    <s v="N/A"/>
    <n v="0"/>
    <x v="0"/>
    <s v="Smitchko Tool and Die, Inc."/>
    <s v="gabriel.oliveira@wabtec.com"/>
    <s v="Fornecedo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506D3-A3CB-4039-9464-C980176489A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ata">
  <location ref="A1:B6" firstHeaderRow="1" firstDataRow="1" firstDataCol="1"/>
  <pivotFields count="25">
    <pivotField dataField="1" showAll="0"/>
    <pivotField showAll="0"/>
    <pivotField showAll="0"/>
    <pivotField showAll="0"/>
    <pivotField showAll="0"/>
    <pivotField axis="axisRow" numFmtId="164" showAll="0">
      <items count="61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x="0"/>
        <item m="1" x="6"/>
        <item x="2"/>
        <item x="5"/>
        <item x="3"/>
        <item x="1"/>
        <item x="4"/>
        <item t="default"/>
      </items>
    </pivotField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4"/>
    <field x="23"/>
    <field x="5"/>
  </rowFields>
  <rowItems count="5"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NCM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8F718E-DDAF-4068-84E7-FE1ACF2DA03A}" name="ncmr" displayName="ncmr" ref="A7:X8" totalsRowShown="0" headerRowDxfId="59" dataDxfId="58">
  <autoFilter ref="A7:X8" xr:uid="{101F2DB5-8787-48B6-B592-5DB5643F7D7B}"/>
  <sortState xmlns:xlrd2="http://schemas.microsoft.com/office/spreadsheetml/2017/richdata2" ref="A8:X8">
    <sortCondition descending="1" ref="F7:F8"/>
  </sortState>
  <tableColumns count="24">
    <tableColumn id="5" xr3:uid="{ECE05FA7-0003-4647-8826-905E97F6D56C}" name="PowerAppsId" dataDxfId="57"/>
    <tableColumn id="21" xr3:uid="{D43A5CDD-0D21-4733-8C34-E48F18BA765D}" name="cod" dataDxfId="56"/>
    <tableColumn id="18" xr3:uid="{4BBDB8D3-D6F0-447C-88A3-4E4096DB58F2}" name="status" dataDxfId="55"/>
    <tableColumn id="2" xr3:uid="{C8E0F4D3-B900-4338-9320-4E8F1B32449A}" name="email_responsavel" dataDxfId="54"/>
    <tableColumn id="4" xr3:uid="{47AF9FFC-601B-49E0-AF1A-B534C4E53BED}" name="local" dataDxfId="53"/>
    <tableColumn id="15" xr3:uid="{C793F042-6B61-4632-BE69-378B334AD31D}" name="data_requisicao" dataDxfId="52"/>
    <tableColumn id="13" xr3:uid="{04C2700C-4332-4B28-BDCA-91D531579DBF}" name="data_problema" dataDxfId="51"/>
    <tableColumn id="1" xr3:uid="{B11CEF20-90F3-4272-9F85-121B2148B853}" name="part_number" dataDxfId="50"/>
    <tableColumn id="3" xr3:uid="{8A2274E5-435E-4B2B-A3D4-C56123339A48}" name="serial_number" dataDxfId="49"/>
    <tableColumn id="14" xr3:uid="{BFF5180A-7A72-475F-8802-0241B5967009}" name="descricao_part" dataDxfId="48"/>
    <tableColumn id="22" xr3:uid="{B3569CC5-A18E-4E9D-B060-BDC285406D55}" name="Informativa" dataDxfId="47"/>
    <tableColumn id="24" xr3:uid="{F4C5E80A-0174-46CE-8E23-10301580AB1F}" name="informativa_retrabalho" dataDxfId="46"/>
    <tableColumn id="7" xr3:uid="{D7A64475-80F4-44C2-8DEE-A7F4EA4F6244}" name="problema" dataDxfId="45"/>
    <tableColumn id="6" xr3:uid="{B726F8AB-2E2D-406E-BD8A-06B561419783}" name="correto" dataDxfId="44"/>
    <tableColumn id="20" xr3:uid="{FEA1DCE7-2F2C-470A-B01B-AA1BAF7D3B21}" name="qtd_itens" dataDxfId="43"/>
    <tableColumn id="10" xr3:uid="{8217FAC5-E33D-4D25-8C91-C55FA00B6D65}" name="qtd_erros" dataDxfId="42"/>
    <tableColumn id="16" xr3:uid="{0674D48E-C7C9-4616-9FAA-829CE4E25960}" name="prioridade" dataDxfId="41"/>
    <tableColumn id="11" xr3:uid="{13147B03-CF65-46B3-90E8-5AD52D2BE845}" name="modelo_locomotiva" dataDxfId="40"/>
    <tableColumn id="12" xr3:uid="{C80A355C-FE6A-4BD6-8281-879C5180BEBB}" name="numero_locomotiva" dataDxfId="39"/>
    <tableColumn id="8" xr3:uid="{CBC8179D-01F9-4ED5-8386-208DF61860D9}" name="fornecedor" dataDxfId="38"/>
    <tableColumn id="9" xr3:uid="{65BA9D5C-6B4F-42F0-A6AB-91C3FAD506C9}" name="fabricante" dataDxfId="37"/>
    <tableColumn id="17" xr3:uid="{8AE0B74B-92B5-404C-9CE4-47EE266BD1D4}" name="aos_cuidados" dataDxfId="36"/>
    <tableColumn id="19" xr3:uid="{8933390E-ADCB-4976-A352-97B8BBD6B43E}" name="origem_do_item" dataDxfId="35">
      <calculatedColumnFormula>IFERROR(IFERROR(VLOOKUP(ncmr[[#This Row],[aos_cuidados]],origem[],2,0),VLOOKUP(LEFT(V8,FIND(",",V8)-1),origem[],2,0)),"")</calculatedColumnFormula>
    </tableColumn>
    <tableColumn id="23" xr3:uid="{EA16AB21-CE42-4813-80B9-924AF3B5ED36}" name="Tipo" dataDxfId="34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781C52-0B69-4CBD-86D7-793B5CC8A16A}" name="RCs" displayName="RCs" ref="A7:R8" totalsRowShown="0" headerRowDxfId="23" dataDxfId="22">
  <autoFilter ref="A7:R8" xr:uid="{04781C52-0B69-4CBD-86D7-793B5CC8A16A}"/>
  <tableColumns count="18">
    <tableColumn id="16" xr3:uid="{7EAE4AB2-02E5-4CFC-84B3-6E75309C6CE9}" name="PowerAppsId" dataDxfId="21"/>
    <tableColumn id="19" xr3:uid="{2B0E7FA3-711E-4F6B-B329-D68FEDE1A5D7}" name="cod" dataDxfId="20"/>
    <tableColumn id="14" xr3:uid="{150A39C6-8E9B-4880-B6F7-808A678FBA0D}" name="status" dataDxfId="19"/>
    <tableColumn id="1" xr3:uid="{49979870-67AE-4D5C-B375-198941548999}" name="email_responsavel" dataDxfId="18" dataCellStyle="Hyperlink"/>
    <tableColumn id="2" xr3:uid="{9F21FAAC-4892-46A1-9DB9-65E9E9FCBF47}" name="local" dataDxfId="17"/>
    <tableColumn id="15" xr3:uid="{8BF7CD95-3DA9-492B-A805-F97E0F20AEE6}" name="data_requisicao" dataDxfId="16"/>
    <tableColumn id="3" xr3:uid="{796F64D8-6282-4C62-B426-636D66A8B73D}" name="data_instalacao" dataDxfId="15"/>
    <tableColumn id="4" xr3:uid="{0B09E414-9586-4AF9-8AEC-64C72A630B63}" name="data_remocao" dataDxfId="14"/>
    <tableColumn id="5" xr3:uid="{AA9B6082-AA21-40BF-922D-8925418E255E}" name="modelo_locomotiva" dataDxfId="13"/>
    <tableColumn id="6" xr3:uid="{50816A76-4A08-49A8-87C8-953E424FB014}" name="numero_locomotiva" dataDxfId="12"/>
    <tableColumn id="7" xr3:uid="{D6A469A4-85D4-403C-B05A-6FC2AF6E65E5}" name="MWH" dataDxfId="11"/>
    <tableColumn id="8" xr3:uid="{0E2B65EA-6C1E-4F73-8A1F-6C7C846E0605}" name="part_number" dataDxfId="10"/>
    <tableColumn id="9" xr3:uid="{921EDFED-83A2-49AE-8534-C01969B42012}" name="serial_number" dataDxfId="9"/>
    <tableColumn id="18" xr3:uid="{898CBEA7-86C1-47FE-9809-5F9308E58E40}" name="descricao_part" dataDxfId="8"/>
    <tableColumn id="10" xr3:uid="{0F4A5CFA-7164-45C9-A4D6-D96B6F76D140}" name="problema" dataDxfId="7"/>
    <tableColumn id="11" xr3:uid="{5A1FFDC9-CA35-49A8-A513-9F59BD964970}" name="tipo_servico" dataDxfId="6"/>
    <tableColumn id="12" xr3:uid="{D2D41647-E18A-4643-9B4E-DABED8AA136E}" name="prioridade" dataDxfId="5"/>
    <tableColumn id="13" xr3:uid="{A16556DD-B44F-48B2-8CB6-AACBE785364F}" name="OVP" dataDxfId="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EAC33A-8FD1-4B38-8CBF-4D347137F9F8}" name="origem" displayName="origem" ref="A1:B13" totalsRowShown="0" headerRowDxfId="3" tableBorderDxfId="2">
  <autoFilter ref="A1:B13" xr:uid="{4EEAC33A-8FD1-4B38-8CBF-4D347137F9F8}"/>
  <tableColumns count="2">
    <tableColumn id="1" xr3:uid="{C1975273-BF9B-42BF-82CE-2B52D5A24906}" name="Email" dataDxfId="1" dataCellStyle="Hyperlink"/>
    <tableColumn id="2" xr3:uid="{E9DB37A2-E406-4172-88A4-C495DD1646D4}" name="Origem" dataDxfId="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34FFBC-FD11-4632-AA3B-4F46E725CCFE}" name="locais" displayName="locais" ref="D1:E3" totalsRowShown="0">
  <autoFilter ref="D1:E3" xr:uid="{8B34FFBC-FD11-4632-AA3B-4F46E725CCFE}"/>
  <tableColumns count="2">
    <tableColumn id="1" xr3:uid="{B8964381-7657-45E6-962D-C1A7CF81E69E}" name="Local"/>
    <tableColumn id="2" xr3:uid="{B3E8D0C1-41AD-4676-94EB-07EAFABC35A8}" name="Grupo emai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5-08-14T16:31:05.46" personId="{81CD8ACE-8031-483A-9CDD-A4A025486D27}" id="{6834123A-A769-4D9D-829F-8FD97DD05635}">
    <text>O gerador de diagrama Four-Block está num script Python. O Excel acessa o script através de um Macro acessível através da aba Developer &gt; Visual Basic &gt; Modules &gt; Module1</text>
  </threadedComment>
  <threadedComment ref="F7" dT="2025-08-13T16:38:50.27" personId="{81CD8ACE-8031-483A-9CDD-A4A025486D27}" id="{132AE1CD-4792-483C-A689-00F99E6FA661}">
    <text>As datas e horas estão em UTC. Isso é dificil de mudar, mas tambem não é útil de mudar. Desta forma a comunicação com outras aplicações fica facilitada.</text>
  </threadedComment>
  <threadedComment ref="V7" dT="2025-08-13T16:41:50.87" personId="{81CD8ACE-8031-483A-9CDD-A4A025486D27}" id="{BD844094-9B7D-4D55-BA8E-3E5198EC4AF6}">
    <text xml:space="preserve">Este campo permite múltipla seleção. A múltipla seleção foi implementada em codigo VBA (aba Developer &gt; Visual Basic &gt; Sheet1(nmcr) &gt; View Code). O código foi copiado do link a seguir: How to create multi-select drop down list in Excel </text>
    <extLst>
      <x:ext xmlns:xltc2="http://schemas.microsoft.com/office/spreadsheetml/2020/threadedcomments2" uri="{F7C98A9C-CBB3-438F-8F68-D28B6AF4A901}">
        <xltc2:checksum>4084953284</xltc2:checksum>
        <xltc2:hyperlink startIndex="185" length="50" url="https://www.ablebits.com/office-addins-blog/create-multi-select-dropdown-excel/"/>
      </x:ext>
    </extLs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" dT="2025-08-14T16:31:05.46" personId="{81CD8ACE-8031-483A-9CDD-A4A025486D27}" id="{3B472FC4-EF1F-4619-A79A-036841C335C6}">
    <text>O gerador de diagrama Four-Block está num script Python. O Excel acessa o script através de um Macro acessível através da aba Developer &gt; Visual Basic &gt; Modules &gt; Module1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exemplo@gmail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exemplo@gmail.com" TargetMode="External"/><Relationship Id="rId1" Type="http://schemas.openxmlformats.org/officeDocument/2006/relationships/hyperlink" Target="mailto:exemplo@g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microsoft.com/office/2017/10/relationships/threadedComment" Target="../threadedComments/threadedComment1.xml"/><Relationship Id="rId4" Type="http://schemas.openxmlformats.org/officeDocument/2006/relationships/printerSettings" Target="../printerSettings/printerSettings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hyperlink" Target="mailto:exemplo@gmail.co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lavio.soares@Wabtec.com" TargetMode="External"/><Relationship Id="rId13" Type="http://schemas.openxmlformats.org/officeDocument/2006/relationships/hyperlink" Target="mailto:ncmr-ga2-cc@wabtec.com" TargetMode="External"/><Relationship Id="rId3" Type="http://schemas.openxmlformats.org/officeDocument/2006/relationships/hyperlink" Target="mailto:gabriel.oliveira@wabtec.com" TargetMode="External"/><Relationship Id="rId7" Type="http://schemas.openxmlformats.org/officeDocument/2006/relationships/hyperlink" Target="mailto:jorge.silva@wabtec.com" TargetMode="External"/><Relationship Id="rId12" Type="http://schemas.openxmlformats.org/officeDocument/2006/relationships/hyperlink" Target="mailto:ncmr-ga1-cc@wabtec.com" TargetMode="External"/><Relationship Id="rId2" Type="http://schemas.openxmlformats.org/officeDocument/2006/relationships/hyperlink" Target="mailto:lucas.figueiredo@Wabtec.com" TargetMode="External"/><Relationship Id="rId16" Type="http://schemas.openxmlformats.org/officeDocument/2006/relationships/table" Target="../tables/table4.xml"/><Relationship Id="rId1" Type="http://schemas.openxmlformats.org/officeDocument/2006/relationships/hyperlink" Target="mailto:vinicius.borgatti@wabtec.com" TargetMode="External"/><Relationship Id="rId6" Type="http://schemas.openxmlformats.org/officeDocument/2006/relationships/hyperlink" Target="mailto:josimar.miranda@wabtec.com" TargetMode="External"/><Relationship Id="rId11" Type="http://schemas.openxmlformats.org/officeDocument/2006/relationships/hyperlink" Target="mailto:thiago.santos@wabtec.com" TargetMode="External"/><Relationship Id="rId5" Type="http://schemas.openxmlformats.org/officeDocument/2006/relationships/hyperlink" Target="mailto:gabriel.barbosa@wabtec.com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luciano.pereira@wabtec.com" TargetMode="External"/><Relationship Id="rId4" Type="http://schemas.openxmlformats.org/officeDocument/2006/relationships/hyperlink" Target="mailto:miguel.ramos@wabtec.com" TargetMode="External"/><Relationship Id="rId9" Type="http://schemas.openxmlformats.org/officeDocument/2006/relationships/hyperlink" Target="mailto:douglas.reis@wabtec.com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6C141-F5DA-4AE2-B9D2-DBC70C3D4CA7}">
  <sheetPr codeName="Sheet1"/>
  <dimension ref="A1:Z38"/>
  <sheetViews>
    <sheetView tabSelected="1" workbookViewId="0">
      <selection activeCell="A8" sqref="A8"/>
    </sheetView>
  </sheetViews>
  <sheetFormatPr defaultColWidth="9.1796875" defaultRowHeight="14.5" x14ac:dyDescent="0.35"/>
  <cols>
    <col min="1" max="1" width="27.81640625" customWidth="1"/>
    <col min="2" max="2" width="19" customWidth="1"/>
    <col min="3" max="3" width="11.1796875" customWidth="1"/>
    <col min="4" max="4" width="28.453125" customWidth="1"/>
    <col min="5" max="5" width="6.453125" customWidth="1"/>
    <col min="6" max="6" width="18.81640625" customWidth="1"/>
    <col min="7" max="7" width="16" customWidth="1"/>
    <col min="8" max="8" width="16.7265625" customWidth="1"/>
    <col min="9" max="9" width="18.1796875" customWidth="1"/>
    <col min="10" max="10" width="22" style="3" customWidth="1"/>
    <col min="11" max="11" width="13.54296875" style="3" customWidth="1"/>
    <col min="12" max="12" width="87.7265625" style="3" customWidth="1"/>
    <col min="13" max="13" width="17.26953125" customWidth="1"/>
    <col min="14" max="14" width="15.81640625" style="4" customWidth="1"/>
    <col min="16" max="16" width="10.81640625" customWidth="1"/>
    <col min="17" max="17" width="16.26953125" customWidth="1"/>
    <col min="18" max="18" width="10.54296875" customWidth="1"/>
    <col min="19" max="19" width="10.1796875" customWidth="1"/>
    <col min="20" max="21" width="15.81640625" customWidth="1"/>
    <col min="22" max="22" width="27.81640625" customWidth="1"/>
    <col min="24" max="24" width="25.1796875" style="14" customWidth="1"/>
    <col min="25" max="25" width="27.81640625" customWidth="1"/>
    <col min="26" max="26" width="28.453125" style="14" customWidth="1"/>
    <col min="27" max="27" width="13.26953125" customWidth="1"/>
    <col min="28" max="28" width="11" customWidth="1"/>
    <col min="31" max="31" width="15.1796875" customWidth="1"/>
    <col min="32" max="32" width="14.26953125" customWidth="1"/>
    <col min="33" max="33" width="13.453125" customWidth="1"/>
    <col min="36" max="36" width="17.1796875" customWidth="1"/>
    <col min="37" max="37" width="14.54296875" customWidth="1"/>
    <col min="39" max="39" width="21.453125" customWidth="1"/>
    <col min="40" max="40" width="18.54296875" customWidth="1"/>
    <col min="42" max="42" width="15.54296875" bestFit="1" customWidth="1"/>
  </cols>
  <sheetData>
    <row r="1" spans="1:26" ht="14.15" customHeight="1" x14ac:dyDescent="0.35">
      <c r="C1" s="24" t="s">
        <v>0</v>
      </c>
      <c r="D1" s="25"/>
      <c r="E1" s="30"/>
      <c r="F1" s="31"/>
      <c r="G1" s="32"/>
      <c r="H1" s="16"/>
      <c r="I1" s="16"/>
      <c r="J1"/>
      <c r="K1"/>
      <c r="L1"/>
      <c r="N1"/>
      <c r="X1"/>
      <c r="Z1"/>
    </row>
    <row r="2" spans="1:26" x14ac:dyDescent="0.35">
      <c r="B2" s="16"/>
      <c r="C2" s="26"/>
      <c r="D2" s="27"/>
      <c r="E2" s="33"/>
      <c r="F2" s="34"/>
      <c r="G2" s="35"/>
      <c r="H2" s="16"/>
      <c r="I2" s="16"/>
      <c r="J2"/>
      <c r="K2"/>
      <c r="L2"/>
      <c r="N2"/>
      <c r="X2"/>
      <c r="Z2"/>
    </row>
    <row r="3" spans="1:26" x14ac:dyDescent="0.35">
      <c r="A3" s="16"/>
      <c r="B3" s="16"/>
      <c r="C3" s="26"/>
      <c r="D3" s="27"/>
      <c r="E3" s="33"/>
      <c r="F3" s="34"/>
      <c r="G3" s="35"/>
      <c r="H3" s="16"/>
      <c r="I3" s="16"/>
      <c r="J3"/>
      <c r="K3"/>
      <c r="L3"/>
      <c r="N3"/>
      <c r="X3"/>
      <c r="Z3"/>
    </row>
    <row r="4" spans="1:26" x14ac:dyDescent="0.35">
      <c r="A4" s="16"/>
      <c r="B4" s="16"/>
      <c r="C4" s="26"/>
      <c r="D4" s="27"/>
      <c r="E4" s="33"/>
      <c r="F4" s="34"/>
      <c r="G4" s="35"/>
      <c r="H4" s="16"/>
      <c r="I4" s="16"/>
      <c r="J4"/>
      <c r="K4"/>
      <c r="L4"/>
      <c r="N4"/>
      <c r="X4"/>
      <c r="Z4"/>
    </row>
    <row r="5" spans="1:26" ht="15" thickBot="1" x14ac:dyDescent="0.4">
      <c r="C5" s="28"/>
      <c r="D5" s="29"/>
      <c r="E5" s="36"/>
      <c r="F5" s="37"/>
      <c r="G5" s="38"/>
      <c r="H5" s="16"/>
      <c r="I5" s="16"/>
      <c r="J5"/>
      <c r="K5"/>
      <c r="L5"/>
      <c r="N5"/>
      <c r="X5"/>
      <c r="Z5"/>
    </row>
    <row r="6" spans="1:26" x14ac:dyDescent="0.35">
      <c r="J6"/>
      <c r="K6"/>
      <c r="L6"/>
      <c r="N6"/>
      <c r="X6"/>
      <c r="Z6"/>
    </row>
    <row r="7" spans="1:26" x14ac:dyDescent="0.35">
      <c r="A7" s="18" t="s">
        <v>1</v>
      </c>
      <c r="B7" s="17" t="s">
        <v>80</v>
      </c>
      <c r="C7" s="18" t="s">
        <v>2</v>
      </c>
      <c r="D7" s="18" t="s">
        <v>3</v>
      </c>
      <c r="E7" s="18" t="s">
        <v>4</v>
      </c>
      <c r="F7" s="18" t="s">
        <v>5</v>
      </c>
      <c r="G7" s="19" t="s">
        <v>6</v>
      </c>
      <c r="H7" s="18" t="s">
        <v>7</v>
      </c>
      <c r="I7" s="18" t="s">
        <v>8</v>
      </c>
      <c r="J7" s="17" t="s">
        <v>9</v>
      </c>
      <c r="K7" s="18" t="s">
        <v>10</v>
      </c>
      <c r="L7" s="18" t="s">
        <v>11</v>
      </c>
      <c r="M7" s="18" t="s">
        <v>82</v>
      </c>
      <c r="N7" s="18" t="s">
        <v>12</v>
      </c>
      <c r="O7" s="18" t="s">
        <v>13</v>
      </c>
      <c r="P7" s="18" t="s">
        <v>14</v>
      </c>
      <c r="Q7" s="18" t="s">
        <v>15</v>
      </c>
      <c r="R7" s="18" t="s">
        <v>16</v>
      </c>
      <c r="S7" s="18" t="s">
        <v>17</v>
      </c>
      <c r="T7" s="17" t="s">
        <v>18</v>
      </c>
      <c r="U7" s="17" t="s">
        <v>19</v>
      </c>
      <c r="V7" s="17" t="s">
        <v>20</v>
      </c>
      <c r="W7" s="17" t="s">
        <v>21</v>
      </c>
      <c r="X7" s="17" t="s">
        <v>22</v>
      </c>
      <c r="Z7"/>
    </row>
    <row r="8" spans="1:26" x14ac:dyDescent="0.35">
      <c r="A8" s="5" t="s">
        <v>27</v>
      </c>
      <c r="B8" s="5" t="s">
        <v>27</v>
      </c>
      <c r="C8" s="5" t="s">
        <v>28</v>
      </c>
      <c r="D8" s="23" t="s">
        <v>29</v>
      </c>
      <c r="E8" s="5" t="s">
        <v>24</v>
      </c>
      <c r="F8" s="13">
        <v>45946.448009259257</v>
      </c>
      <c r="G8" s="2">
        <v>45946.125</v>
      </c>
      <c r="H8" s="5" t="s">
        <v>30</v>
      </c>
      <c r="I8" s="5" t="s">
        <v>31</v>
      </c>
      <c r="J8" s="5" t="s">
        <v>32</v>
      </c>
      <c r="K8" s="5" t="s">
        <v>39</v>
      </c>
      <c r="L8" s="5"/>
      <c r="M8" s="5" t="s">
        <v>33</v>
      </c>
      <c r="N8" s="5" t="s">
        <v>34</v>
      </c>
      <c r="O8" s="5">
        <v>1</v>
      </c>
      <c r="P8" s="5"/>
      <c r="Q8" s="15" t="s">
        <v>35</v>
      </c>
      <c r="R8" s="5"/>
      <c r="S8" s="5"/>
      <c r="T8" s="5" t="s">
        <v>36</v>
      </c>
      <c r="U8" s="5" t="s">
        <v>37</v>
      </c>
      <c r="V8" s="20"/>
      <c r="W8" s="20"/>
      <c r="X8" s="20"/>
    </row>
    <row r="9" spans="1:26" x14ac:dyDescent="0.35">
      <c r="A9" s="5" t="s">
        <v>76</v>
      </c>
      <c r="B9" s="5" t="s">
        <v>76</v>
      </c>
      <c r="C9" s="5" t="s">
        <v>28</v>
      </c>
      <c r="D9" s="23" t="s">
        <v>29</v>
      </c>
      <c r="E9" s="5" t="s">
        <v>38</v>
      </c>
      <c r="F9" s="13">
        <v>45946.448009259257</v>
      </c>
      <c r="G9" s="2">
        <v>45946.125</v>
      </c>
      <c r="H9" s="5" t="s">
        <v>30</v>
      </c>
      <c r="I9" s="5" t="s">
        <v>31</v>
      </c>
      <c r="J9" s="5" t="s">
        <v>32</v>
      </c>
      <c r="K9" s="5"/>
      <c r="L9" s="5"/>
      <c r="M9" s="5" t="s">
        <v>33</v>
      </c>
      <c r="N9" s="5" t="s">
        <v>34</v>
      </c>
      <c r="O9" s="5">
        <v>1</v>
      </c>
      <c r="P9" s="5"/>
      <c r="Q9" s="15" t="s">
        <v>35</v>
      </c>
      <c r="R9" s="5"/>
      <c r="S9" s="5"/>
      <c r="T9" s="5" t="s">
        <v>36</v>
      </c>
      <c r="U9" s="5" t="s">
        <v>37</v>
      </c>
      <c r="V9" s="20"/>
      <c r="W9" s="20"/>
      <c r="X9" s="20"/>
    </row>
    <row r="10" spans="1:26" x14ac:dyDescent="0.35">
      <c r="A10" s="5" t="s">
        <v>27</v>
      </c>
      <c r="B10" s="5" t="s">
        <v>27</v>
      </c>
      <c r="C10" s="5" t="s">
        <v>23</v>
      </c>
      <c r="D10" s="23" t="s">
        <v>29</v>
      </c>
      <c r="E10" s="5"/>
      <c r="F10" s="13">
        <v>45946.448009259257</v>
      </c>
      <c r="G10" s="2">
        <v>45946.125</v>
      </c>
      <c r="H10" s="5" t="s">
        <v>30</v>
      </c>
      <c r="I10" s="5" t="s">
        <v>31</v>
      </c>
      <c r="J10" s="5" t="s">
        <v>32</v>
      </c>
      <c r="K10" s="5"/>
      <c r="L10" s="5"/>
      <c r="M10" s="5" t="s">
        <v>33</v>
      </c>
      <c r="N10" s="5" t="s">
        <v>34</v>
      </c>
      <c r="O10" s="5">
        <v>1</v>
      </c>
      <c r="P10" s="5"/>
      <c r="Q10" s="15" t="s">
        <v>35</v>
      </c>
      <c r="R10" s="5"/>
      <c r="S10" s="5"/>
      <c r="T10" s="5" t="s">
        <v>36</v>
      </c>
      <c r="U10" s="5" t="s">
        <v>37</v>
      </c>
      <c r="V10" s="20"/>
      <c r="W10" s="20"/>
      <c r="X10" s="20"/>
    </row>
    <row r="11" spans="1:26" x14ac:dyDescent="0.35">
      <c r="E11" s="5"/>
    </row>
    <row r="12" spans="1:26" x14ac:dyDescent="0.35">
      <c r="E12" s="5"/>
    </row>
    <row r="13" spans="1:26" x14ac:dyDescent="0.35">
      <c r="E13" s="5"/>
    </row>
    <row r="14" spans="1:26" x14ac:dyDescent="0.35">
      <c r="E14" s="5"/>
    </row>
    <row r="15" spans="1:26" x14ac:dyDescent="0.35">
      <c r="E15" s="5"/>
    </row>
    <row r="16" spans="1:26" x14ac:dyDescent="0.35">
      <c r="E16" s="5"/>
    </row>
    <row r="17" spans="5:5" x14ac:dyDescent="0.35">
      <c r="E17" s="5"/>
    </row>
    <row r="18" spans="5:5" x14ac:dyDescent="0.35">
      <c r="E18" s="5"/>
    </row>
    <row r="19" spans="5:5" x14ac:dyDescent="0.35">
      <c r="E19" s="5"/>
    </row>
    <row r="20" spans="5:5" x14ac:dyDescent="0.35">
      <c r="E20" s="5"/>
    </row>
    <row r="21" spans="5:5" x14ac:dyDescent="0.35">
      <c r="E21" s="5"/>
    </row>
    <row r="22" spans="5:5" x14ac:dyDescent="0.35">
      <c r="E22" s="5"/>
    </row>
    <row r="23" spans="5:5" x14ac:dyDescent="0.35">
      <c r="E23" s="5"/>
    </row>
    <row r="24" spans="5:5" x14ac:dyDescent="0.35">
      <c r="E24" s="5"/>
    </row>
    <row r="25" spans="5:5" x14ac:dyDescent="0.35">
      <c r="E25" s="5"/>
    </row>
    <row r="26" spans="5:5" x14ac:dyDescent="0.35">
      <c r="E26" s="5"/>
    </row>
    <row r="27" spans="5:5" x14ac:dyDescent="0.35">
      <c r="E27" s="5"/>
    </row>
    <row r="28" spans="5:5" x14ac:dyDescent="0.35">
      <c r="E28" s="5"/>
    </row>
    <row r="29" spans="5:5" x14ac:dyDescent="0.35">
      <c r="E29" s="5"/>
    </row>
    <row r="30" spans="5:5" x14ac:dyDescent="0.35">
      <c r="E30" s="5"/>
    </row>
    <row r="31" spans="5:5" x14ac:dyDescent="0.35">
      <c r="E31" s="5"/>
    </row>
    <row r="32" spans="5:5" x14ac:dyDescent="0.35">
      <c r="E32" s="5"/>
    </row>
    <row r="33" spans="5:5" x14ac:dyDescent="0.35">
      <c r="E33" s="5"/>
    </row>
    <row r="34" spans="5:5" x14ac:dyDescent="0.35">
      <c r="E34" s="5"/>
    </row>
    <row r="35" spans="5:5" x14ac:dyDescent="0.35">
      <c r="E35" s="5"/>
    </row>
    <row r="36" spans="5:5" x14ac:dyDescent="0.35">
      <c r="E36" s="5"/>
    </row>
    <row r="37" spans="5:5" x14ac:dyDescent="0.35">
      <c r="E37" s="5"/>
    </row>
    <row r="38" spans="5:5" x14ac:dyDescent="0.35">
      <c r="E38" s="5"/>
    </row>
  </sheetData>
  <mergeCells count="2">
    <mergeCell ref="C1:D5"/>
    <mergeCell ref="E1:G5"/>
  </mergeCells>
  <conditionalFormatting sqref="H11:I1002 E11:E38 A11:D1002 T11:V1002 X11:X1002 J11:N1048576 A8:X10">
    <cfRule type="expression" dxfId="75" priority="16">
      <formula>$C8="Requisitado"</formula>
    </cfRule>
  </conditionalFormatting>
  <conditionalFormatting sqref="Z11:AE917">
    <cfRule type="expression" dxfId="74" priority="142">
      <formula>$C96="Requisitado"</formula>
    </cfRule>
  </conditionalFormatting>
  <conditionalFormatting sqref="Y11:Y987">
    <cfRule type="expression" dxfId="73" priority="169">
      <formula>$C26="Requisitado"</formula>
    </cfRule>
  </conditionalFormatting>
  <conditionalFormatting sqref="AJ11:AJ906">
    <cfRule type="expression" dxfId="72" priority="175">
      <formula>$C107="Requisitado"</formula>
    </cfRule>
  </conditionalFormatting>
  <conditionalFormatting sqref="AK11:AK856">
    <cfRule type="expression" dxfId="71" priority="177">
      <formula>$C157="Requisitado"</formula>
    </cfRule>
  </conditionalFormatting>
  <conditionalFormatting sqref="AG11:AG909">
    <cfRule type="expression" dxfId="70" priority="179">
      <formula>$C104="Requisitado"</formula>
    </cfRule>
  </conditionalFormatting>
  <conditionalFormatting sqref="AJ10">
    <cfRule type="expression" dxfId="69" priority="6">
      <formula>$C96="Requisitado"</formula>
    </cfRule>
  </conditionalFormatting>
  <conditionalFormatting sqref="AK10">
    <cfRule type="expression" dxfId="68" priority="7">
      <formula>$C146="Requisitado"</formula>
    </cfRule>
  </conditionalFormatting>
  <conditionalFormatting sqref="AG10">
    <cfRule type="expression" dxfId="67" priority="8">
      <formula>$C93="Requisitado"</formula>
    </cfRule>
  </conditionalFormatting>
  <conditionalFormatting sqref="Y10">
    <cfRule type="expression" dxfId="66" priority="9">
      <formula>$C15="Requisitado"</formula>
    </cfRule>
  </conditionalFormatting>
  <conditionalFormatting sqref="Z8:AE9">
    <cfRule type="expression" dxfId="65" priority="2">
      <formula>$C84="Requisitado"</formula>
    </cfRule>
  </conditionalFormatting>
  <conditionalFormatting sqref="Z10:AE10">
    <cfRule type="expression" dxfId="64" priority="1">
      <formula>$C85="Requisitado"</formula>
    </cfRule>
  </conditionalFormatting>
  <conditionalFormatting sqref="AJ8:AJ9">
    <cfRule type="expression" dxfId="63" priority="181">
      <formula>$C95="Requisitado"</formula>
    </cfRule>
  </conditionalFormatting>
  <conditionalFormatting sqref="AK8:AK9">
    <cfRule type="expression" dxfId="62" priority="183">
      <formula>$C145="Requisitado"</formula>
    </cfRule>
  </conditionalFormatting>
  <conditionalFormatting sqref="AG8:AG9">
    <cfRule type="expression" dxfId="61" priority="185">
      <formula>$C92="Requisitado"</formula>
    </cfRule>
  </conditionalFormatting>
  <conditionalFormatting sqref="Y8:Y9">
    <cfRule type="expression" dxfId="60" priority="187">
      <formula>$C14="Requisitado"</formula>
    </cfRule>
  </conditionalFormatting>
  <dataValidations count="4">
    <dataValidation type="list" allowBlank="1" showInputMessage="1" showErrorMessage="1" sqref="E8:E1048576 AD8:AD1048576" xr:uid="{AAD1C849-2122-4A25-B972-7FF3E21A8D72}">
      <formula1>INDIRECT("locais[Local]")</formula1>
    </dataValidation>
    <dataValidation type="list" allowBlank="1" showInputMessage="1" showErrorMessage="1" sqref="X11:Y1048576 W8:Y10" xr:uid="{B1F0E5BD-1C54-49FF-ABF5-7C4CAEA000DD}">
      <formula1>INDIRECT("origem[Origem]")</formula1>
    </dataValidation>
    <dataValidation type="list" allowBlank="1" showInputMessage="1" showErrorMessage="1" sqref="V8:V1048576 Y8:Y1048576 X8:X10" xr:uid="{281EAF9A-07F9-4D0E-841F-455283409C41}">
      <formula1>INDIRECT("origem[Email]")</formula1>
    </dataValidation>
    <dataValidation type="list" allowBlank="1" showInputMessage="1" showErrorMessage="1" sqref="C7:C1048576" xr:uid="{225178C8-5908-4336-B5EC-FF13C6327D08}">
      <formula1>"Emitido, Requisitado"</formula1>
    </dataValidation>
  </dataValidations>
  <hyperlinks>
    <hyperlink ref="D8" r:id="rId1" xr:uid="{22DF507A-48C3-4091-98E1-40FC2558B702}"/>
    <hyperlink ref="D10" r:id="rId2" xr:uid="{3B27DC76-86BA-423F-AE13-6B9372221120}"/>
    <hyperlink ref="D9" r:id="rId3" xr:uid="{DFD9CA60-EB01-49F9-80B0-F3E1B4D24908}"/>
  </hyperlinks>
  <pageMargins left="0.7" right="0.7" top="0.75" bottom="0.75" header="0.3" footer="0.3"/>
  <pageSetup orientation="portrait" r:id="rId4"/>
  <headerFooter>
    <oddHeader>&amp;R&amp;"Calibri"&amp;7&amp;K000000 1 - General Business&amp;1#_x000D_</oddHead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PythonScript">
                <anchor moveWithCells="1" sizeWithCells="1">
                  <from>
                    <xdr:col>4</xdr:col>
                    <xdr:colOff>76200</xdr:colOff>
                    <xdr:row>0</xdr:row>
                    <xdr:rowOff>69850</xdr:rowOff>
                  </from>
                  <to>
                    <xdr:col>6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4959-9EAD-423A-BDFA-F0A856035022}">
  <sheetPr codeName="Sheet2"/>
  <dimension ref="A1:R11"/>
  <sheetViews>
    <sheetView zoomScaleNormal="100" workbookViewId="0">
      <selection activeCell="A39" sqref="A39"/>
    </sheetView>
  </sheetViews>
  <sheetFormatPr defaultColWidth="9.1796875" defaultRowHeight="14.5" x14ac:dyDescent="0.35"/>
  <cols>
    <col min="1" max="2" width="28.7265625" customWidth="1"/>
    <col min="3" max="3" width="12.453125" customWidth="1"/>
    <col min="4" max="4" width="23.7265625" customWidth="1"/>
    <col min="6" max="6" width="21.1796875" style="3" customWidth="1"/>
    <col min="7" max="7" width="16.54296875" style="4" customWidth="1"/>
    <col min="8" max="8" width="16" style="4" customWidth="1"/>
    <col min="9" max="9" width="14.81640625" customWidth="1"/>
    <col min="10" max="11" width="19.81640625" customWidth="1"/>
    <col min="12" max="12" width="14.26953125" bestFit="1" customWidth="1"/>
    <col min="13" max="14" width="13.81640625" customWidth="1"/>
    <col min="15" max="15" width="115.81640625" customWidth="1"/>
    <col min="17" max="17" width="13.26953125" customWidth="1"/>
    <col min="18" max="18" width="11.7265625" customWidth="1"/>
  </cols>
  <sheetData>
    <row r="1" spans="1:18" x14ac:dyDescent="0.35">
      <c r="D1" s="24" t="s">
        <v>77</v>
      </c>
      <c r="E1" s="25"/>
      <c r="F1" s="30"/>
      <c r="G1" s="31"/>
      <c r="H1" s="32"/>
    </row>
    <row r="2" spans="1:18" x14ac:dyDescent="0.35">
      <c r="D2" s="26"/>
      <c r="E2" s="27"/>
      <c r="F2" s="33"/>
      <c r="G2" s="34"/>
      <c r="H2" s="35"/>
    </row>
    <row r="3" spans="1:18" x14ac:dyDescent="0.35">
      <c r="D3" s="26"/>
      <c r="E3" s="27"/>
      <c r="F3" s="33"/>
      <c r="G3" s="34"/>
      <c r="H3" s="35"/>
    </row>
    <row r="4" spans="1:18" x14ac:dyDescent="0.35">
      <c r="D4" s="26"/>
      <c r="E4" s="27"/>
      <c r="F4" s="33"/>
      <c r="G4" s="34"/>
      <c r="H4" s="35"/>
    </row>
    <row r="5" spans="1:18" ht="15" thickBot="1" x14ac:dyDescent="0.4">
      <c r="D5" s="28"/>
      <c r="E5" s="29"/>
      <c r="F5" s="36"/>
      <c r="G5" s="37"/>
      <c r="H5" s="38"/>
    </row>
    <row r="7" spans="1:18" x14ac:dyDescent="0.35">
      <c r="A7" s="1" t="s">
        <v>1</v>
      </c>
      <c r="B7" s="1" t="s">
        <v>80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49</v>
      </c>
      <c r="H7" s="1" t="s">
        <v>50</v>
      </c>
      <c r="I7" s="1" t="s">
        <v>16</v>
      </c>
      <c r="J7" s="1" t="s">
        <v>17</v>
      </c>
      <c r="K7" s="1" t="s">
        <v>51</v>
      </c>
      <c r="L7" s="1" t="s">
        <v>7</v>
      </c>
      <c r="M7" s="1" t="s">
        <v>8</v>
      </c>
      <c r="N7" s="1" t="s">
        <v>9</v>
      </c>
      <c r="O7" s="1" t="s">
        <v>82</v>
      </c>
      <c r="P7" s="1" t="s">
        <v>52</v>
      </c>
      <c r="Q7" s="1" t="s">
        <v>15</v>
      </c>
      <c r="R7" s="1" t="s">
        <v>53</v>
      </c>
    </row>
    <row r="8" spans="1:18" x14ac:dyDescent="0.35">
      <c r="A8" s="5" t="s">
        <v>54</v>
      </c>
      <c r="B8" s="5" t="s">
        <v>81</v>
      </c>
      <c r="C8" s="5" t="s">
        <v>23</v>
      </c>
      <c r="D8" s="23" t="s">
        <v>29</v>
      </c>
      <c r="E8" s="5" t="s">
        <v>38</v>
      </c>
      <c r="F8" s="3">
        <v>45880.8194007407</v>
      </c>
      <c r="G8" s="7">
        <v>45872</v>
      </c>
      <c r="H8" s="2">
        <v>45877.125</v>
      </c>
      <c r="I8" s="5" t="s">
        <v>26</v>
      </c>
      <c r="J8" s="5">
        <v>8307</v>
      </c>
      <c r="K8" s="6">
        <v>0</v>
      </c>
      <c r="L8" s="5" t="s">
        <v>79</v>
      </c>
      <c r="M8" s="5" t="s">
        <v>78</v>
      </c>
      <c r="N8" s="5"/>
      <c r="O8" s="5" t="s">
        <v>55</v>
      </c>
      <c r="P8" t="s">
        <v>56</v>
      </c>
      <c r="Q8" t="s">
        <v>39</v>
      </c>
      <c r="R8" t="s">
        <v>25</v>
      </c>
    </row>
    <row r="11" spans="1:18" x14ac:dyDescent="0.35">
      <c r="E11" t="s">
        <v>57</v>
      </c>
    </row>
  </sheetData>
  <mergeCells count="2">
    <mergeCell ref="D1:E5"/>
    <mergeCell ref="F1:H5"/>
  </mergeCells>
  <conditionalFormatting sqref="A8:B8 F9:H1048576 K8 P8:R8 E8">
    <cfRule type="expression" dxfId="33" priority="29">
      <formula>$C8="Requisitado"</formula>
    </cfRule>
  </conditionalFormatting>
  <conditionalFormatting sqref="F8:G8">
    <cfRule type="expression" dxfId="32" priority="30">
      <formula>$C8="Requisitado"</formula>
    </cfRule>
  </conditionalFormatting>
  <conditionalFormatting sqref="C8">
    <cfRule type="expression" dxfId="31" priority="28">
      <formula>$C8="Requisitado"</formula>
    </cfRule>
  </conditionalFormatting>
  <conditionalFormatting sqref="D8">
    <cfRule type="expression" dxfId="30" priority="27">
      <formula>$C8="Requisitado"</formula>
    </cfRule>
  </conditionalFormatting>
  <conditionalFormatting sqref="A9:R1003">
    <cfRule type="expression" dxfId="29" priority="32">
      <formula>$C9="Requisitado"</formula>
    </cfRule>
  </conditionalFormatting>
  <conditionalFormatting sqref="H8">
    <cfRule type="expression" dxfId="28" priority="25">
      <formula>$C8="Requisitado"</formula>
    </cfRule>
  </conditionalFormatting>
  <conditionalFormatting sqref="I8:J8">
    <cfRule type="expression" dxfId="27" priority="20">
      <formula>$C8="Requisitado"</formula>
    </cfRule>
  </conditionalFormatting>
  <conditionalFormatting sqref="L8">
    <cfRule type="expression" dxfId="26" priority="23">
      <formula>$C8="Requisitado"</formula>
    </cfRule>
  </conditionalFormatting>
  <conditionalFormatting sqref="M8:N8">
    <cfRule type="expression" dxfId="25" priority="22">
      <formula>$C8="Requisitado"</formula>
    </cfRule>
  </conditionalFormatting>
  <conditionalFormatting sqref="O8">
    <cfRule type="expression" dxfId="24" priority="21">
      <formula>$C8="Requisitado"</formula>
    </cfRule>
  </conditionalFormatting>
  <dataValidations count="2">
    <dataValidation type="list" allowBlank="1" showInputMessage="1" showErrorMessage="1" sqref="C8" xr:uid="{27A22DF2-16A6-454D-90B9-ACE8C9FD2BE6}">
      <formula1>"Emitido, Requisitado"</formula1>
    </dataValidation>
    <dataValidation type="list" allowBlank="1" showInputMessage="1" showErrorMessage="1" sqref="C9:C1048576" xr:uid="{EB257F5E-2F19-4C20-848A-0B0C7D217D58}">
      <formula1>"Requisitado,Emitido"</formula1>
    </dataValidation>
  </dataValidations>
  <hyperlinks>
    <hyperlink ref="D8" r:id="rId1" xr:uid="{FB64470F-9C18-49EC-8EAB-B85A4E2F3C1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Script">
                <anchor moveWithCells="1" sizeWithCells="1">
                  <from>
                    <xdr:col>5</xdr:col>
                    <xdr:colOff>76200</xdr:colOff>
                    <xdr:row>0</xdr:row>
                    <xdr:rowOff>69850</xdr:rowOff>
                  </from>
                  <to>
                    <xdr:col>7</xdr:col>
                    <xdr:colOff>1028700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FB21-D431-4608-8324-18C02B9D1907}">
  <sheetPr codeName="Sheet3"/>
  <dimension ref="A1:B6"/>
  <sheetViews>
    <sheetView workbookViewId="0">
      <selection activeCell="D4" sqref="D4"/>
    </sheetView>
  </sheetViews>
  <sheetFormatPr defaultRowHeight="14.5" x14ac:dyDescent="0.35"/>
  <cols>
    <col min="1" max="1" width="10.7265625" bestFit="1" customWidth="1"/>
    <col min="2" max="2" width="7.1796875" bestFit="1" customWidth="1"/>
    <col min="3" max="4" width="4.54296875" bestFit="1" customWidth="1"/>
    <col min="5" max="5" width="5.1796875" bestFit="1" customWidth="1"/>
    <col min="6" max="6" width="4.453125" bestFit="1" customWidth="1"/>
    <col min="7" max="7" width="6.81640625" bestFit="1" customWidth="1"/>
    <col min="8" max="9" width="10.7265625" bestFit="1" customWidth="1"/>
    <col min="10" max="10" width="19.1796875" bestFit="1" customWidth="1"/>
    <col min="11" max="11" width="16.1796875" bestFit="1" customWidth="1"/>
    <col min="12" max="12" width="34.1796875" bestFit="1" customWidth="1"/>
    <col min="13" max="13" width="15.1796875" bestFit="1" customWidth="1"/>
    <col min="14" max="14" width="17.7265625" bestFit="1" customWidth="1"/>
    <col min="15" max="15" width="23.453125" bestFit="1" customWidth="1"/>
    <col min="16" max="16" width="24" bestFit="1" customWidth="1"/>
    <col min="17" max="17" width="26.26953125" bestFit="1" customWidth="1"/>
    <col min="18" max="18" width="9.54296875" bestFit="1" customWidth="1"/>
    <col min="19" max="19" width="11.7265625" bestFit="1" customWidth="1"/>
    <col min="20" max="20" width="14.54296875" bestFit="1" customWidth="1"/>
    <col min="21" max="21" width="43.453125" bestFit="1" customWidth="1"/>
    <col min="22" max="23" width="24.81640625" bestFit="1" customWidth="1"/>
    <col min="24" max="24" width="9.26953125" bestFit="1" customWidth="1"/>
    <col min="25" max="25" width="18.26953125" bestFit="1" customWidth="1"/>
    <col min="26" max="26" width="9.26953125" bestFit="1" customWidth="1"/>
    <col min="27" max="27" width="43.453125" bestFit="1" customWidth="1"/>
    <col min="28" max="28" width="24.54296875" bestFit="1" customWidth="1"/>
    <col min="29" max="29" width="9.81640625" bestFit="1" customWidth="1"/>
    <col min="30" max="30" width="22.81640625" bestFit="1" customWidth="1"/>
    <col min="31" max="31" width="48.81640625" bestFit="1" customWidth="1"/>
    <col min="32" max="32" width="5.7265625" bestFit="1" customWidth="1"/>
    <col min="33" max="33" width="6.81640625" bestFit="1" customWidth="1"/>
    <col min="34" max="34" width="9.1796875" bestFit="1" customWidth="1"/>
    <col min="35" max="35" width="22.7265625" bestFit="1" customWidth="1"/>
    <col min="36" max="36" width="5.7265625" bestFit="1" customWidth="1"/>
    <col min="37" max="37" width="12.54296875" bestFit="1" customWidth="1"/>
    <col min="38" max="38" width="6.81640625" bestFit="1" customWidth="1"/>
    <col min="39" max="39" width="11.54296875" bestFit="1" customWidth="1"/>
    <col min="40" max="40" width="10.7265625" bestFit="1" customWidth="1"/>
  </cols>
  <sheetData>
    <row r="1" spans="1:2" x14ac:dyDescent="0.35">
      <c r="A1" s="21" t="s">
        <v>58</v>
      </c>
      <c r="B1" t="s">
        <v>59</v>
      </c>
    </row>
    <row r="2" spans="1:2" x14ac:dyDescent="0.35">
      <c r="A2" s="22" t="s">
        <v>60</v>
      </c>
      <c r="B2">
        <v>1</v>
      </c>
    </row>
    <row r="3" spans="1:2" x14ac:dyDescent="0.35">
      <c r="A3" s="22" t="s">
        <v>61</v>
      </c>
      <c r="B3">
        <v>21</v>
      </c>
    </row>
    <row r="4" spans="1:2" x14ac:dyDescent="0.35">
      <c r="A4" s="22" t="s">
        <v>62</v>
      </c>
      <c r="B4">
        <v>30</v>
      </c>
    </row>
    <row r="5" spans="1:2" x14ac:dyDescent="0.35">
      <c r="A5" s="22" t="s">
        <v>63</v>
      </c>
      <c r="B5">
        <v>8</v>
      </c>
    </row>
    <row r="6" spans="1:2" x14ac:dyDescent="0.35">
      <c r="A6" s="22" t="s">
        <v>64</v>
      </c>
      <c r="B6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5DAB5-E40E-409B-9709-67084EAD8E5A}">
  <sheetPr codeName="Sheet4"/>
  <dimension ref="A1:E13"/>
  <sheetViews>
    <sheetView zoomScaleNormal="100" workbookViewId="0">
      <selection activeCell="B13" sqref="B13"/>
    </sheetView>
  </sheetViews>
  <sheetFormatPr defaultRowHeight="14.5" x14ac:dyDescent="0.35"/>
  <cols>
    <col min="1" max="1" width="27.26953125" customWidth="1"/>
    <col min="2" max="2" width="16.1796875" customWidth="1"/>
    <col min="5" max="5" width="22.81640625" customWidth="1"/>
    <col min="6" max="6" width="8.7265625" customWidth="1"/>
  </cols>
  <sheetData>
    <row r="1" spans="1:5" x14ac:dyDescent="0.35">
      <c r="A1" s="12" t="s">
        <v>65</v>
      </c>
      <c r="B1" s="10" t="s">
        <v>66</v>
      </c>
      <c r="D1" t="s">
        <v>67</v>
      </c>
      <c r="E1" t="s">
        <v>68</v>
      </c>
    </row>
    <row r="2" spans="1:5" x14ac:dyDescent="0.35">
      <c r="A2" s="11" t="s">
        <v>46</v>
      </c>
      <c r="B2" s="9" t="s">
        <v>69</v>
      </c>
      <c r="D2" t="s">
        <v>24</v>
      </c>
      <c r="E2" s="8" t="s">
        <v>70</v>
      </c>
    </row>
    <row r="3" spans="1:5" x14ac:dyDescent="0.35">
      <c r="A3" s="11" t="s">
        <v>71</v>
      </c>
      <c r="B3" s="9" t="s">
        <v>42</v>
      </c>
      <c r="D3" t="s">
        <v>38</v>
      </c>
      <c r="E3" s="8" t="s">
        <v>72</v>
      </c>
    </row>
    <row r="4" spans="1:5" x14ac:dyDescent="0.35">
      <c r="A4" s="11" t="s">
        <v>48</v>
      </c>
      <c r="B4" s="9" t="s">
        <v>42</v>
      </c>
    </row>
    <row r="5" spans="1:5" x14ac:dyDescent="0.35">
      <c r="A5" s="11" t="s">
        <v>44</v>
      </c>
      <c r="B5" s="9" t="s">
        <v>42</v>
      </c>
    </row>
    <row r="6" spans="1:5" x14ac:dyDescent="0.35">
      <c r="A6" s="11" t="s">
        <v>43</v>
      </c>
      <c r="B6" s="9" t="s">
        <v>69</v>
      </c>
    </row>
    <row r="7" spans="1:5" x14ac:dyDescent="0.35">
      <c r="A7" s="11" t="s">
        <v>47</v>
      </c>
      <c r="B7" s="9" t="s">
        <v>69</v>
      </c>
    </row>
    <row r="8" spans="1:5" x14ac:dyDescent="0.35">
      <c r="A8" s="11" t="s">
        <v>45</v>
      </c>
      <c r="B8" s="9" t="s">
        <v>69</v>
      </c>
    </row>
    <row r="9" spans="1:5" x14ac:dyDescent="0.35">
      <c r="A9" s="9" t="s">
        <v>73</v>
      </c>
      <c r="B9" s="9" t="s">
        <v>69</v>
      </c>
    </row>
    <row r="10" spans="1:5" x14ac:dyDescent="0.35">
      <c r="A10" s="11" t="s">
        <v>41</v>
      </c>
      <c r="B10" s="9" t="s">
        <v>42</v>
      </c>
    </row>
    <row r="11" spans="1:5" x14ac:dyDescent="0.35">
      <c r="A11" s="11" t="s">
        <v>74</v>
      </c>
      <c r="B11" s="9" t="s">
        <v>42</v>
      </c>
    </row>
    <row r="12" spans="1:5" x14ac:dyDescent="0.35">
      <c r="A12" s="11" t="s">
        <v>40</v>
      </c>
      <c r="B12" s="9" t="s">
        <v>42</v>
      </c>
    </row>
    <row r="13" spans="1:5" x14ac:dyDescent="0.35">
      <c r="A13" s="11" t="s">
        <v>75</v>
      </c>
      <c r="B13" s="9" t="s">
        <v>42</v>
      </c>
    </row>
  </sheetData>
  <hyperlinks>
    <hyperlink ref="A2" r:id="rId1" xr:uid="{E422B785-D398-404C-AD9E-DA03022F5DBA}"/>
    <hyperlink ref="A3" r:id="rId2" xr:uid="{36D18B88-FD9B-4747-B264-990F6D4CB0E5}"/>
    <hyperlink ref="A4" r:id="rId3" xr:uid="{8C68862F-025C-45C5-975E-AF50D7C6FE8E}"/>
    <hyperlink ref="A5" r:id="rId4" xr:uid="{CD6C59E7-53CD-4C1A-AC0F-44F4AAE130ED}"/>
    <hyperlink ref="A6" r:id="rId5" xr:uid="{A568260F-0438-46D7-9A4A-70B177EEDD7D}"/>
    <hyperlink ref="A7" r:id="rId6" xr:uid="{DDED8414-EBBE-44A4-94AF-907F5C873688}"/>
    <hyperlink ref="A8" r:id="rId7" xr:uid="{366B6883-2245-4FEF-921E-0BC6DAA71499}"/>
    <hyperlink ref="A10" r:id="rId8" xr:uid="{3B1E38CB-2E03-467A-A32A-A69B9F071544}"/>
    <hyperlink ref="A11" r:id="rId9" xr:uid="{0CC516A1-527F-47A5-931A-EAF5BE689DD0}"/>
    <hyperlink ref="A12" r:id="rId10" xr:uid="{157F52A5-4D80-4EB9-8312-28D75242F82E}"/>
    <hyperlink ref="A13" r:id="rId11" xr:uid="{CE92B446-0DC5-433D-A063-4DEDF10038BC}"/>
    <hyperlink ref="E2" r:id="rId12" xr:uid="{EA85FE5B-9BED-497B-8BD8-5FC6BD2324C3}"/>
    <hyperlink ref="E3" r:id="rId13" xr:uid="{269C77FB-E3D7-4AFD-BA70-BBF6A458F7F3}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E2003350C66641A579DBB07CE07332" ma:contentTypeVersion="9" ma:contentTypeDescription="Crie um novo documento." ma:contentTypeScope="" ma:versionID="61024dbe82322031c7a6ba1ebcbf17d9">
  <xsd:schema xmlns:xsd="http://www.w3.org/2001/XMLSchema" xmlns:xs="http://www.w3.org/2001/XMLSchema" xmlns:p="http://schemas.microsoft.com/office/2006/metadata/properties" xmlns:ns2="2634a83c-b2c1-449c-8882-322b79556f9e" targetNamespace="http://schemas.microsoft.com/office/2006/metadata/properties" ma:root="true" ma:fieldsID="a2ba600457b02db42e3d17846519df5a" ns2:_="">
    <xsd:import namespace="2634a83c-b2c1-449c-8882-322b79556f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34a83c-b2c1-449c-8882-322b79556f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9DF76C-09C4-4482-8B29-B05889E2C4B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FC1F271-420D-4921-843A-97E53348B8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F8452-9DF1-480B-A307-4EEC6746D2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634a83c-b2c1-449c-8882-322b79556f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ncmr</vt:lpstr>
      <vt:lpstr>RCs</vt:lpstr>
      <vt:lpstr>TabelaDinâmica</vt:lpstr>
      <vt:lpstr>tabelas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Silva, João Francisco</dc:creator>
  <cp:keywords/>
  <dc:description/>
  <cp:lastModifiedBy>Silva, João Francisco</cp:lastModifiedBy>
  <cp:revision/>
  <dcterms:created xsi:type="dcterms:W3CDTF">2015-06-05T18:17:20Z</dcterms:created>
  <dcterms:modified xsi:type="dcterms:W3CDTF">2026-02-10T12:50:18Z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903732-8a6f-4e0e-952b-fe0b250d49cc_Enabled">
    <vt:lpwstr>true</vt:lpwstr>
  </property>
  <property fmtid="{D5CDD505-2E9C-101B-9397-08002B2CF9AE}" pid="3" name="MSIP_Label_57903732-8a6f-4e0e-952b-fe0b250d49cc_SetDate">
    <vt:lpwstr>2025-07-14T15:29:54Z</vt:lpwstr>
  </property>
  <property fmtid="{D5CDD505-2E9C-101B-9397-08002B2CF9AE}" pid="4" name="MSIP_Label_57903732-8a6f-4e0e-952b-fe0b250d49cc_Method">
    <vt:lpwstr>Standard</vt:lpwstr>
  </property>
  <property fmtid="{D5CDD505-2E9C-101B-9397-08002B2CF9AE}" pid="5" name="MSIP_Label_57903732-8a6f-4e0e-952b-fe0b250d49cc_Name">
    <vt:lpwstr>1- General Business</vt:lpwstr>
  </property>
  <property fmtid="{D5CDD505-2E9C-101B-9397-08002B2CF9AE}" pid="6" name="MSIP_Label_57903732-8a6f-4e0e-952b-fe0b250d49cc_SiteId">
    <vt:lpwstr>90f1aac4-c661-46a9-83fd-e021705adcc9</vt:lpwstr>
  </property>
  <property fmtid="{D5CDD505-2E9C-101B-9397-08002B2CF9AE}" pid="7" name="MSIP_Label_57903732-8a6f-4e0e-952b-fe0b250d49cc_ActionId">
    <vt:lpwstr>070866c2-8b78-4b9e-8390-a1e8b844a536</vt:lpwstr>
  </property>
  <property fmtid="{D5CDD505-2E9C-101B-9397-08002B2CF9AE}" pid="8" name="MSIP_Label_57903732-8a6f-4e0e-952b-fe0b250d49cc_ContentBits">
    <vt:lpwstr>1</vt:lpwstr>
  </property>
  <property fmtid="{D5CDD505-2E9C-101B-9397-08002B2CF9AE}" pid="9" name="MSIP_Label_57903732-8a6f-4e0e-952b-fe0b250d49cc_Tag">
    <vt:lpwstr>10, 3, 0, 1</vt:lpwstr>
  </property>
  <property fmtid="{D5CDD505-2E9C-101B-9397-08002B2CF9AE}" pid="10" name="ContentTypeId">
    <vt:lpwstr>0x01010006E2003350C66641A579DBB07CE07332</vt:lpwstr>
  </property>
</Properties>
</file>